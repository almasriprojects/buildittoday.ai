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What we know" sheetId="2" state="visible" r:id="rId2"/>
    <sheet name="Monthly P&amp;L" sheetId="3" state="visible" r:id="rId3"/>
    <sheet name="Scenarios" sheetId="4" state="visible" r:id="rId4"/>
    <sheet name="Price vs conver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-"/>
    <numFmt numFmtId="165" formatCode="0.0%;(0.0%);-"/>
    <numFmt numFmtId="166" formatCode="$#,##0;($#,##0);-"/>
    <numFmt numFmtId="167" formatCode="#,##0;(#,##0);-"/>
    <numFmt numFmtId="168" formatCode="0.000%"/>
    <numFmt numFmtId="169" formatCode="0.00&quot;x&quot;"/>
    <numFmt numFmtId="170" formatCode="0.0&quot;x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F00"/>
      </patternFill>
    </fill>
    <fill>
      <patternFill patternType="solid">
        <fgColor rgb="00EEF2F5"/>
      </patternFill>
    </fill>
  </fills>
  <borders count="2">
    <border>
      <left/>
      <right/>
      <top/>
      <bottom/>
      <diagonal/>
    </border>
    <border>
      <top style="thin">
        <color rgb="00404040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5" fillId="3" borderId="0" pivotButton="0" quotePrefix="0" xfId="0"/>
    <xf numFmtId="166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0" fontId="3" fillId="2" borderId="0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166" fontId="6" fillId="0" borderId="0" pivotButton="0" quotePrefix="0" xfId="0"/>
    <xf numFmtId="166" fontId="6" fillId="0" borderId="1" pivotButton="0" quotePrefix="0" xfId="0"/>
    <xf numFmtId="167" fontId="0" fillId="0" borderId="0" pivotButton="0" quotePrefix="0" xfId="0"/>
    <xf numFmtId="166" fontId="0" fillId="0" borderId="0" pivotButton="0" quotePrefix="0" xfId="0"/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right" wrapText="1"/>
    </xf>
    <xf numFmtId="168" fontId="6" fillId="0" borderId="0" pivotButton="0" quotePrefix="0" xfId="0"/>
    <xf numFmtId="169" fontId="6" fillId="3" borderId="0" pivotButton="0" quotePrefix="0" xfId="0"/>
    <xf numFmtId="170" fontId="6" fillId="3" borderId="0" pivotButton="0" quotePrefix="0" xfId="0"/>
    <xf numFmtId="10" fontId="5" fillId="0" borderId="0" applyAlignment="1" pivotButton="0" quotePrefix="0" xfId="0">
      <alignment horizontal="right"/>
    </xf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62" customWidth="1" min="4" max="4"/>
  </cols>
  <sheetData>
    <row r="1">
      <c r="A1" s="1" t="inlineStr">
        <is>
          <t>BuildItToday.ai — Model Assumptions</t>
        </is>
      </c>
    </row>
    <row r="2">
      <c r="A2" s="2" t="inlineStr">
        <is>
          <t>Blue = you can change it.  Yellow = confirm this from your own invoices.  Black = calculated.</t>
        </is>
      </c>
    </row>
    <row r="4">
      <c r="A4" s="3" t="inlineStr">
        <is>
          <t>COST TO FIND AND BUILD ONE LEAD</t>
        </is>
      </c>
      <c r="B4" s="4" t="n"/>
      <c r="C4" s="4" t="n"/>
      <c r="D4" s="4" t="n"/>
    </row>
    <row r="5">
      <c r="A5" s="5" t="inlineStr">
        <is>
          <t>DataSkip lookup, per lead checked</t>
        </is>
      </c>
      <c r="B5" s="6" t="n">
        <v>0.04</v>
      </c>
      <c r="C5" s="2" t="inlineStr">
        <is>
          <t>$</t>
        </is>
      </c>
      <c r="D5" s="2" t="inlineStr">
        <is>
          <t>Your figure, 10 Sep 2026</t>
        </is>
      </c>
    </row>
    <row r="6">
      <c r="A6" s="5" t="inlineStr">
        <is>
          <t>…of which return an email address</t>
        </is>
      </c>
      <c r="B6" s="7" t="n">
        <v>0.777</v>
      </c>
      <c r="C6" s="2" t="inlineStr">
        <is>
          <t>%</t>
        </is>
      </c>
      <c r="D6" s="2" t="inlineStr">
        <is>
          <t>MEASURED: 818 emails from 1,053 checks</t>
        </is>
      </c>
    </row>
    <row r="7">
      <c r="A7" s="5" t="inlineStr">
        <is>
          <t>…of which return a mailing address</t>
        </is>
      </c>
      <c r="B7" s="7" t="n">
        <v>0.831</v>
      </c>
      <c r="C7" s="2" t="inlineStr">
        <is>
          <t>%</t>
        </is>
      </c>
      <c r="D7" s="2" t="inlineStr">
        <is>
          <t>MEASURED: 875 addresses from 1,053 checks</t>
        </is>
      </c>
    </row>
    <row r="8">
      <c r="A8" s="5" t="inlineStr">
        <is>
          <t>Three photographs</t>
        </is>
      </c>
      <c r="B8" s="6" t="n">
        <v>0.13</v>
      </c>
      <c r="C8" s="2" t="inlineStr">
        <is>
          <t>$</t>
        </is>
      </c>
      <c r="D8" s="2" t="inlineStr">
        <is>
          <t>MEASURED across 27 builds</t>
        </is>
      </c>
    </row>
    <row r="9">
      <c r="A9" s="5" t="inlineStr">
        <is>
          <t>Four-second hero video</t>
        </is>
      </c>
      <c r="B9" s="6" t="n">
        <v>0.14</v>
      </c>
      <c r="C9" s="2" t="inlineStr">
        <is>
          <t>$</t>
        </is>
      </c>
      <c r="D9" s="2" t="inlineStr">
        <is>
          <t>MEASURED across 27 builds</t>
        </is>
      </c>
    </row>
    <row r="10">
      <c r="A10" s="5" t="inlineStr">
        <is>
          <t>Website copy + HTML build</t>
        </is>
      </c>
      <c r="B10" s="6" t="n">
        <v>0.23</v>
      </c>
      <c r="C10" s="2" t="inlineStr">
        <is>
          <t>$</t>
        </is>
      </c>
      <c r="D10" s="2" t="inlineStr">
        <is>
          <t>ESTIMATED — not separately instrumented</t>
        </is>
      </c>
    </row>
    <row r="11">
      <c r="A11" s="8" t="inlineStr">
        <is>
          <t>Site build, total</t>
        </is>
      </c>
      <c r="B11" s="9">
        <f>B8+B9+B10</f>
        <v/>
      </c>
      <c r="C11" s="2" t="inlineStr">
        <is>
          <t>$</t>
        </is>
      </c>
      <c r="D11" s="2" t="inlineStr">
        <is>
          <t>Media measured at $0.2705 mean, range $0.19–$0.32</t>
        </is>
      </c>
    </row>
    <row r="12">
      <c r="A12" s="5" t="inlineStr">
        <is>
          <t>Email send</t>
        </is>
      </c>
      <c r="B12" s="6" t="n">
        <v>0</v>
      </c>
      <c r="C12" s="2" t="inlineStr">
        <is>
          <t>$</t>
        </is>
      </c>
      <c r="D12" s="2" t="inlineStr">
        <is>
          <t>Templates, no model call. Verified in code.</t>
        </is>
      </c>
    </row>
    <row r="13">
      <c r="A13" s="5" t="inlineStr">
        <is>
          <t>Postcard, printed and mailed</t>
        </is>
      </c>
      <c r="B13" s="10" t="n">
        <v>0.75</v>
      </c>
      <c r="C13" s="2" t="inlineStr">
        <is>
          <t>$</t>
        </is>
      </c>
      <c r="D13" s="2" t="inlineStr">
        <is>
          <t>Lob list price, per PROJECT.md — not yet verified by an invoice</t>
        </is>
      </c>
    </row>
    <row r="14">
      <c r="A14" s="8" t="inlineStr">
        <is>
          <t>Cost per emailable lead found + built</t>
        </is>
      </c>
      <c r="B14" s="9">
        <f>B5/B6+B11</f>
        <v/>
      </c>
      <c r="C14" s="2" t="inlineStr">
        <is>
          <t>$</t>
        </is>
      </c>
      <c r="D14" s="2" t="inlineStr">
        <is>
          <t>DataSkip is paid on every check, but only 77.7% yield an email</t>
        </is>
      </c>
    </row>
    <row r="15">
      <c r="A15" s="8" t="inlineStr">
        <is>
          <t>Cost per postcard lead found + built + mailed</t>
        </is>
      </c>
      <c r="B15" s="9">
        <f>B5/B7+B11+B13</f>
        <v/>
      </c>
      <c r="C15" s="2" t="inlineStr">
        <is>
          <t>$</t>
        </is>
      </c>
      <c r="D15" s="2" t="inlineStr">
        <is>
          <t>Same, plus print and postage</t>
        </is>
      </c>
    </row>
    <row r="17">
      <c r="A17" s="3" t="inlineStr">
        <is>
          <t>OVERHEADS</t>
        </is>
      </c>
      <c r="B17" s="4" t="n"/>
      <c r="C17" s="4" t="n"/>
      <c r="D17" s="4" t="n"/>
    </row>
    <row r="18">
      <c r="A18" s="5" t="inlineStr">
        <is>
          <t>Hosting, database, email, domain — monthly</t>
        </is>
      </c>
      <c r="B18" s="10" t="n">
        <v>0</v>
      </c>
      <c r="C18" s="2" t="inlineStr">
        <is>
          <t>$/mo</t>
        </is>
      </c>
      <c r="D18" s="2" t="inlineStr">
        <is>
          <t>CONFIRM: Supabase + Vercel + Resend + domain. $0 if all free tiers, ~$65 if all paid.</t>
        </is>
      </c>
    </row>
    <row r="19">
      <c r="A19" s="5" t="inlineStr">
        <is>
          <t>Stripe — percentage</t>
        </is>
      </c>
      <c r="B19" s="7" t="n">
        <v>0.029</v>
      </c>
      <c r="C19" s="2" t="inlineStr">
        <is>
          <t>%</t>
        </is>
      </c>
      <c r="D19" s="2" t="inlineStr">
        <is>
          <t>Stripe US standard</t>
        </is>
      </c>
    </row>
    <row r="20">
      <c r="A20" s="5" t="inlineStr">
        <is>
          <t>Stripe — fixed, per transaction</t>
        </is>
      </c>
      <c r="B20" s="6" t="n">
        <v>0.3</v>
      </c>
      <c r="C20" s="2" t="inlineStr">
        <is>
          <t>$</t>
        </is>
      </c>
      <c r="D20" s="2" t="inlineStr">
        <is>
          <t>Stripe US standard</t>
        </is>
      </c>
    </row>
    <row r="22">
      <c r="A22" s="3" t="inlineStr">
        <is>
          <t>WHAT YOU CHARGE</t>
        </is>
      </c>
      <c r="B22" s="4" t="n"/>
      <c r="C22" s="4" t="n"/>
      <c r="D22" s="4" t="n"/>
    </row>
    <row r="23">
      <c r="B23" s="8" t="inlineStr">
        <is>
          <t>Setup</t>
        </is>
      </c>
      <c r="C23" s="8" t="inlineStr">
        <is>
          <t>Monthly</t>
        </is>
      </c>
    </row>
    <row r="24">
      <c r="A24" s="5" t="inlineStr">
        <is>
          <t>Starter</t>
        </is>
      </c>
      <c r="B24" s="11" t="n">
        <v>750</v>
      </c>
      <c r="C24" s="11" t="n">
        <v>50</v>
      </c>
      <c r="D24" s="2" t="inlineStr">
        <is>
          <t>From frontend/src/lib/pricing.ts</t>
        </is>
      </c>
    </row>
    <row r="25">
      <c r="A25" s="5" t="inlineStr">
        <is>
          <t>Professional</t>
        </is>
      </c>
      <c r="B25" s="11" t="n">
        <v>1500</v>
      </c>
      <c r="C25" s="11" t="n">
        <v>99</v>
      </c>
    </row>
    <row r="26">
      <c r="A26" s="5" t="inlineStr">
        <is>
          <t>Signature</t>
        </is>
      </c>
      <c r="B26" s="11" t="n">
        <v>3500</v>
      </c>
      <c r="C26" s="11" t="n">
        <v>199</v>
      </c>
    </row>
    <row r="28">
      <c r="A28" s="5" t="inlineStr">
        <is>
          <t>Mix — Starter</t>
        </is>
      </c>
      <c r="B28" s="7" t="n">
        <v>0.7</v>
      </c>
      <c r="C28" s="2" t="inlineStr">
        <is>
          <t>%</t>
        </is>
      </c>
      <c r="D28" s="2" t="inlineStr">
        <is>
          <t>ASSUMPTION. No sales yet, so this is a guess.</t>
        </is>
      </c>
    </row>
    <row r="29">
      <c r="A29" s="5" t="inlineStr">
        <is>
          <t>Mix — Professional</t>
        </is>
      </c>
      <c r="B29" s="7" t="n">
        <v>0.25</v>
      </c>
      <c r="C29" s="2" t="inlineStr">
        <is>
          <t>%</t>
        </is>
      </c>
      <c r="D29" s="2" t="inlineStr">
        <is>
          <t>ASSUMPTION</t>
        </is>
      </c>
    </row>
    <row r="30">
      <c r="A30" s="5" t="inlineStr">
        <is>
          <t>Mix — Signature</t>
        </is>
      </c>
      <c r="B30" s="7" t="n">
        <v>0.05</v>
      </c>
      <c r="C30" s="2" t="inlineStr">
        <is>
          <t>%</t>
        </is>
      </c>
      <c r="D30" s="2" t="inlineStr">
        <is>
          <t>ASSUMPTION</t>
        </is>
      </c>
    </row>
    <row r="31">
      <c r="A31" s="8" t="inlineStr">
        <is>
          <t>Mix check — must equal 100%</t>
        </is>
      </c>
      <c r="B31" s="12">
        <f>B28+B29+B30</f>
        <v/>
      </c>
      <c r="C31" s="2" t="inlineStr">
        <is>
          <t>%</t>
        </is>
      </c>
      <c r="D31" s="2" t="inlineStr">
        <is>
          <t>If this is not 100%, the revenue lines are wrong</t>
        </is>
      </c>
    </row>
    <row r="32">
      <c r="A32" s="8" t="inlineStr">
        <is>
          <t>Weighted setup fee</t>
        </is>
      </c>
      <c r="B32" s="13">
        <f>B24*B28+B25*B29+B26*B30</f>
        <v/>
      </c>
      <c r="C32" s="2" t="inlineStr">
        <is>
          <t>$</t>
        </is>
      </c>
      <c r="D32" s="2" t="inlineStr">
        <is>
          <t>Blended across the mix above</t>
        </is>
      </c>
    </row>
    <row r="33">
      <c r="A33" s="8" t="inlineStr">
        <is>
          <t>Weighted monthly fee</t>
        </is>
      </c>
      <c r="B33" s="13">
        <f>C24*B28+C25*B29+C26*B30</f>
        <v/>
      </c>
      <c r="C33" s="2" t="inlineStr">
        <is>
          <t>$</t>
        </is>
      </c>
      <c r="D33" s="2" t="inlineStr">
        <is>
          <t>Blended across the mix above</t>
        </is>
      </c>
    </row>
    <row r="35">
      <c r="A35" s="3" t="inlineStr">
        <is>
          <t>MONTHLY VOLUME — the levers you actually control</t>
        </is>
      </c>
      <c r="B35" s="4" t="n"/>
      <c r="C35" s="4" t="n"/>
      <c r="D35" s="4" t="n"/>
    </row>
    <row r="36">
      <c r="A36" s="5" t="inlineStr">
        <is>
          <t>New leads scraped per month</t>
        </is>
      </c>
      <c r="B36" s="14" t="n">
        <v>18000</v>
      </c>
      <c r="C36" s="2" t="inlineStr">
        <is>
          <t>leads</t>
        </is>
      </c>
      <c r="D36" s="2" t="inlineStr">
        <is>
          <t>MEASURED: 36,102 in Aug, 18,152 in Sep (part month)</t>
        </is>
      </c>
    </row>
    <row r="37">
      <c r="A37" s="5" t="inlineStr">
        <is>
          <t>…share that qualify</t>
        </is>
      </c>
      <c r="B37" s="7" t="n">
        <v>0.6</v>
      </c>
      <c r="C37" s="2" t="inlineStr">
        <is>
          <t>%</t>
        </is>
      </c>
      <c r="D37" s="2" t="inlineStr">
        <is>
          <t>MEASURED: 32,540 of 54,254</t>
        </is>
      </c>
    </row>
    <row r="38">
      <c r="A38" s="5" t="inlineStr">
        <is>
          <t>DataSkip lookups per month</t>
        </is>
      </c>
      <c r="B38" s="14" t="n">
        <v>1000</v>
      </c>
      <c r="C38" s="2" t="inlineStr">
        <is>
          <t>leads</t>
        </is>
      </c>
      <c r="D38" s="2" t="inlineStr">
        <is>
          <t>MEASURED to date: 1,053 in Aug, 0 in Sep. THIS IS THE MAIN LEVER.</t>
        </is>
      </c>
    </row>
    <row r="39">
      <c r="A39" s="8" t="inlineStr">
        <is>
          <t>Email addresses found</t>
        </is>
      </c>
      <c r="B39" s="15">
        <f>B38*B6</f>
        <v/>
      </c>
      <c r="C39" s="2" t="inlineStr">
        <is>
          <t>leads</t>
        </is>
      </c>
      <c r="D39" s="2" t="inlineStr">
        <is>
          <t>Lookups × hit rate</t>
        </is>
      </c>
    </row>
    <row r="40">
      <c r="A40" s="8" t="inlineStr">
        <is>
          <t>Mailing addresses found</t>
        </is>
      </c>
      <c r="B40" s="15">
        <f>B38*B7</f>
        <v/>
      </c>
      <c r="C40" s="2" t="inlineStr">
        <is>
          <t>leads</t>
        </is>
      </c>
      <c r="D40" s="2" t="inlineStr">
        <is>
          <t>Lookups × hit rate</t>
        </is>
      </c>
    </row>
    <row r="41">
      <c r="A41" s="8" t="inlineStr">
        <is>
          <t>Sites built</t>
        </is>
      </c>
      <c r="B41" s="15">
        <f>B39</f>
        <v/>
      </c>
      <c r="C41" s="2" t="inlineStr">
        <is>
          <t>sites</t>
        </is>
      </c>
      <c r="D41" s="2" t="inlineStr">
        <is>
          <t>One per emailable lead. Capacity today is 10/day = ~300/mo.</t>
        </is>
      </c>
    </row>
    <row r="42">
      <c r="A42" s="8" t="inlineStr">
        <is>
          <t>Emails sent</t>
        </is>
      </c>
      <c r="B42" s="15">
        <f>B39</f>
        <v/>
      </c>
      <c r="C42" s="2" t="inlineStr">
        <is>
          <t>sends</t>
        </is>
      </c>
      <c r="D42" s="2" t="inlineStr">
        <is>
          <t>Everyone with an email and an approved site</t>
        </is>
      </c>
    </row>
    <row r="43">
      <c r="A43" s="5" t="inlineStr">
        <is>
          <t>…share also sent a postcard</t>
        </is>
      </c>
      <c r="B43" s="7" t="n">
        <v>0</v>
      </c>
      <c r="C43" s="2" t="inlineStr">
        <is>
          <t>%</t>
        </is>
      </c>
      <c r="D43" s="2" t="inlineStr">
        <is>
          <t>0% = email only. Set to 1.00 to mail every lead that has an address.</t>
        </is>
      </c>
    </row>
    <row r="44">
      <c r="A44" s="8" t="inlineStr">
        <is>
          <t>Postcards sent</t>
        </is>
      </c>
      <c r="B44" s="15">
        <f>B40*B43</f>
        <v/>
      </c>
      <c r="C44" s="2" t="inlineStr">
        <is>
          <t>cards</t>
        </is>
      </c>
      <c r="D44" s="2" t="inlineStr">
        <is>
          <t>Mailing addresses × the share above</t>
        </is>
      </c>
    </row>
    <row r="46">
      <c r="A46" s="3" t="inlineStr">
        <is>
          <t>CONVERSION — the numbers nobody knows yet</t>
        </is>
      </c>
      <c r="B46" s="4" t="n"/>
      <c r="C46" s="4" t="n"/>
      <c r="D46" s="4" t="n"/>
    </row>
    <row r="47">
      <c r="A47" s="5" t="inlineStr">
        <is>
          <t>Email conversion to paying customer</t>
        </is>
      </c>
      <c r="B47" s="7" t="n">
        <v>0.01</v>
      </c>
      <c r="C47" s="2" t="inlineStr">
        <is>
          <t>%</t>
        </is>
      </c>
      <c r="D47" s="2" t="inlineStr">
        <is>
          <t>GUESS. Actual to date: 0 from 47 sends. See 'What we know' sheet.</t>
        </is>
      </c>
    </row>
    <row r="48">
      <c r="A48" s="5" t="inlineStr">
        <is>
          <t>Postcard conversion to paying customer</t>
        </is>
      </c>
      <c r="B48" s="7" t="n">
        <v>0.02</v>
      </c>
      <c r="C48" s="2" t="inlineStr">
        <is>
          <t>%</t>
        </is>
      </c>
      <c r="D48" s="2" t="inlineStr">
        <is>
          <t>GUESS. Zero postcards sent. Direct mail typically beats cold email.</t>
        </is>
      </c>
    </row>
    <row r="49">
      <c r="A49" s="5" t="inlineStr">
        <is>
          <t>Monthly churn of paying customers</t>
        </is>
      </c>
      <c r="B49" s="7" t="n">
        <v>0.03</v>
      </c>
      <c r="C49" s="2" t="inlineStr">
        <is>
          <t>%</t>
        </is>
      </c>
      <c r="D49" s="2" t="inlineStr">
        <is>
          <t>ASSUMPTION — 3%/mo means an average customer stays ~33 months</t>
        </is>
      </c>
    </row>
    <row r="51">
      <c r="A51" s="3" t="inlineStr">
        <is>
          <t>OPENING POSITION</t>
        </is>
      </c>
      <c r="B51" s="4" t="n"/>
      <c r="C51" s="4" t="n"/>
      <c r="D51" s="4" t="n"/>
    </row>
    <row r="52">
      <c r="A52" s="5" t="inlineStr">
        <is>
          <t>Cash spent before this model starts</t>
        </is>
      </c>
      <c r="B52" s="6" t="n">
        <v>-283.51</v>
      </c>
      <c r="C52" s="2" t="inlineStr">
        <is>
          <t>$</t>
        </is>
      </c>
      <c r="D52" s="2" t="inlineStr">
        <is>
          <t>MEASURED: OpenRouter consumed to date, against $0 revenue</t>
        </is>
      </c>
    </row>
    <row r="53">
      <c r="A53" s="5" t="inlineStr">
        <is>
          <t>Customers at the start</t>
        </is>
      </c>
      <c r="B53" s="14" t="n">
        <v>0</v>
      </c>
      <c r="C53" s="2" t="inlineStr">
        <is>
          <t>count</t>
        </is>
      </c>
      <c r="D53" s="2" t="inlineStr">
        <is>
          <t>MEASURED: the customers table is empty</t>
        </is>
      </c>
    </row>
    <row r="56">
      <c r="A56" s="8" t="inlineStr">
        <is>
          <t>BREAK-EVEN — how often you must win to cover costs</t>
        </is>
      </c>
    </row>
    <row r="57">
      <c r="A57" s="8" t="inlineStr">
        <is>
          <t>Net cash from one customer, first 12 months</t>
        </is>
      </c>
      <c r="B57" s="13">
        <f>(B32+B33*12)*(1-B19)-B20*13</f>
        <v/>
      </c>
      <c r="C57" s="2" t="inlineStr">
        <is>
          <t>$</t>
        </is>
      </c>
      <c r="D57" s="2" t="inlineStr">
        <is>
          <t>Setup + 12 monthly payments, after Stripe takes its cut</t>
        </is>
      </c>
    </row>
    <row r="58">
      <c r="A58" s="8" t="inlineStr">
        <is>
          <t>Emails needed per customer to break even</t>
        </is>
      </c>
      <c r="B58" s="15">
        <f>B57/B14</f>
        <v/>
      </c>
      <c r="C58" s="2" t="inlineStr">
        <is>
          <t>sends</t>
        </is>
      </c>
      <c r="D58" s="2" t="inlineStr">
        <is>
          <t>One sale in this many emails simply covers what the emails cost</t>
        </is>
      </c>
    </row>
    <row r="59">
      <c r="A59" s="8" t="inlineStr">
        <is>
          <t>Break-even email conversion rate</t>
        </is>
      </c>
      <c r="B59" s="16">
        <f>B14/B57</f>
        <v/>
      </c>
      <c r="C59" s="2" t="inlineStr">
        <is>
          <t>%</t>
        </is>
      </c>
      <c r="D59" s="2" t="inlineStr">
        <is>
          <t>Below this, the email channel loses money</t>
        </is>
      </c>
    </row>
    <row r="60">
      <c r="A60" s="8" t="inlineStr">
        <is>
          <t>Break-even postcard conversion rate</t>
        </is>
      </c>
      <c r="B60" s="16">
        <f>B15/B57</f>
        <v/>
      </c>
      <c r="C60" s="2" t="inlineStr">
        <is>
          <t>%</t>
        </is>
      </c>
      <c r="D60" s="2" t="inlineStr">
        <is>
          <t>Postcards cost more per touch, so they must convert better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Measured facts, read from the live database on 10 Sep 2026</t>
        </is>
      </c>
    </row>
    <row r="2">
      <c r="A2" s="2" t="inlineStr">
        <is>
          <t>Nothing on this sheet is a projection. Every figure is a count from the database.</t>
        </is>
      </c>
    </row>
    <row r="4">
      <c r="A4" s="3" t="inlineStr">
        <is>
          <t>THE FUNNEL, ALL TIME</t>
        </is>
      </c>
      <c r="B4" s="4" t="n"/>
      <c r="C4" s="4" t="n"/>
    </row>
    <row r="5">
      <c r="A5" s="5" t="inlineStr">
        <is>
          <t>Leads scraped</t>
        </is>
      </c>
      <c r="B5" s="17" t="n">
        <v>54254</v>
      </c>
      <c r="C5" s="2" t="inlineStr">
        <is>
          <t>36,102 in August, 18,152 in September</t>
        </is>
      </c>
    </row>
    <row r="6">
      <c r="A6" s="5" t="inlineStr">
        <is>
          <t>Qualified as a target</t>
        </is>
      </c>
      <c r="B6" s="17" t="n">
        <v>32540</v>
      </c>
      <c r="C6" s="2" t="inlineStr">
        <is>
          <t>60.0% of everything scraped</t>
        </is>
      </c>
    </row>
    <row r="7">
      <c r="A7" s="5" t="inlineStr">
        <is>
          <t>Checked with DataSkip</t>
        </is>
      </c>
      <c r="B7" s="17" t="n">
        <v>1053</v>
      </c>
      <c r="C7" s="2" t="inlineStr">
        <is>
          <t>3.2% of qualified leads. The rest have never been looked up.</t>
        </is>
      </c>
    </row>
    <row r="8">
      <c r="A8" s="5" t="inlineStr">
        <is>
          <t>…that returned an email address</t>
        </is>
      </c>
      <c r="B8" s="17" t="n">
        <v>818</v>
      </c>
      <c r="C8" s="2" t="inlineStr">
        <is>
          <t>77.7% hit rate</t>
        </is>
      </c>
    </row>
    <row r="9">
      <c r="A9" s="5" t="inlineStr">
        <is>
          <t>…that returned a mailing address</t>
        </is>
      </c>
      <c r="B9" s="17" t="n">
        <v>875</v>
      </c>
      <c r="C9" s="2" t="inlineStr">
        <is>
          <t>83.1% hit rate</t>
        </is>
      </c>
    </row>
    <row r="10">
      <c r="A10" s="5" t="inlineStr">
        <is>
          <t>Qualified but NEVER checked</t>
        </is>
      </c>
      <c r="B10" s="17" t="n">
        <v>31487</v>
      </c>
      <c r="C10" s="2" t="inlineStr">
        <is>
          <t>Your unworked inventory. At $0.04 each, $1,259 to check all of them.</t>
        </is>
      </c>
    </row>
    <row r="11">
      <c r="A11" s="3" t="inlineStr">
        <is>
          <t>WHAT WAS ACTUALLY BUILT AND SENT</t>
        </is>
      </c>
      <c r="B11" s="4" t="n"/>
      <c r="C11" s="4" t="n"/>
    </row>
    <row r="12">
      <c r="A12" s="5" t="inlineStr">
        <is>
          <t>Demo sites built</t>
        </is>
      </c>
      <c r="B12" s="17" t="n">
        <v>63</v>
      </c>
      <c r="C12" s="2" t="inlineStr">
        <is>
          <t>Each with its own photography and hero video</t>
        </is>
      </c>
    </row>
    <row r="13">
      <c r="A13" s="5" t="inlineStr">
        <is>
          <t>Sites approved by the quality gate</t>
        </is>
      </c>
      <c r="B13" s="17" t="n">
        <v>52</v>
      </c>
      <c r="C13" s="2" t="inlineStr"/>
    </row>
    <row r="14">
      <c r="A14" s="5" t="inlineStr">
        <is>
          <t>Real emails sent to real businesses</t>
        </is>
      </c>
      <c r="B14" s="17" t="n">
        <v>47</v>
      </c>
      <c r="C14" s="2" t="inlineStr">
        <is>
          <t>Excludes rehearsals sent to your own inbox</t>
        </is>
      </c>
    </row>
    <row r="15">
      <c r="A15" s="5" t="inlineStr">
        <is>
          <t>Postcards sent</t>
        </is>
      </c>
      <c r="B15" s="17" t="n">
        <v>0</v>
      </c>
      <c r="C15" s="2" t="inlineStr">
        <is>
          <t>The channel has never been tried</t>
        </is>
      </c>
    </row>
    <row r="16">
      <c r="A16" s="5" t="inlineStr">
        <is>
          <t>Paying customers</t>
        </is>
      </c>
      <c r="B16" s="17" t="n">
        <v>0</v>
      </c>
      <c r="C16" s="2" t="inlineStr">
        <is>
          <t>The customers table is empty</t>
        </is>
      </c>
    </row>
    <row r="17">
      <c r="A17" s="3" t="inlineStr">
        <is>
          <t>MONEY</t>
        </is>
      </c>
      <c r="B17" s="4" t="n"/>
      <c r="C17" s="4" t="n"/>
    </row>
    <row r="18">
      <c r="A18" s="5" t="inlineStr">
        <is>
          <t>OpenRouter credit consumed</t>
        </is>
      </c>
      <c r="B18" s="18" t="n">
        <v>-283.51</v>
      </c>
      <c r="C18" s="2" t="inlineStr">
        <is>
          <t>Of $288.00 granted</t>
        </is>
      </c>
    </row>
    <row r="19">
      <c r="A19" s="5" t="inlineStr">
        <is>
          <t>OpenRouter credit remaining</t>
        </is>
      </c>
      <c r="B19" s="18" t="n">
        <v>4.49</v>
      </c>
      <c r="C19" s="2" t="inlineStr">
        <is>
          <t>About 9 more sites at $0.50, then building stops</t>
        </is>
      </c>
    </row>
    <row r="20">
      <c r="A20" s="5" t="inlineStr">
        <is>
          <t>Revenue</t>
        </is>
      </c>
      <c r="B20" s="18" t="n">
        <v>0</v>
      </c>
      <c r="C20" s="2" t="inlineStr"/>
    </row>
    <row r="21">
      <c r="A21" s="3" t="inlineStr">
        <is>
          <t>WHAT 47 SENDS CAN TELL YOU</t>
        </is>
      </c>
      <c r="B21" s="4" t="n"/>
      <c r="C21" s="4" t="n"/>
    </row>
    <row r="22">
      <c r="A22" s="5" t="inlineStr">
        <is>
          <t>Observed conversions</t>
        </is>
      </c>
      <c r="B22" s="8" t="inlineStr">
        <is>
          <t>0 of 47</t>
        </is>
      </c>
      <c r="C22" s="2" t="inlineStr"/>
    </row>
    <row r="23">
      <c r="A23" s="5" t="inlineStr">
        <is>
          <t>95% upper bound on the true rate</t>
        </is>
      </c>
      <c r="B23" s="8" t="inlineStr">
        <is>
          <t>6.4%</t>
        </is>
      </c>
      <c r="C23" s="2" t="inlineStr">
        <is>
          <t>Rule of three: with 0 events in 47 trials, 3/47. The true rate could be anything from 0% to 6.4%.</t>
        </is>
      </c>
    </row>
    <row r="24">
      <c r="A24" s="5" t="inlineStr">
        <is>
          <t>Verdict</t>
        </is>
      </c>
      <c r="B24" s="8" t="inlineStr">
        <is>
          <t>Not enough data</t>
        </is>
      </c>
      <c r="C24" s="2" t="inlineStr">
        <is>
          <t>This sample cannot separate 'the price is wrong' from 'we have not sent enough'.</t>
        </is>
      </c>
    </row>
    <row r="25">
      <c r="A25" s="5" t="inlineStr">
        <is>
          <t>Complication</t>
        </is>
      </c>
      <c r="B25" s="8" t="inlineStr">
        <is>
          <t>Buy button was broken</t>
        </is>
      </c>
      <c r="C25" s="2" t="inlineStr">
        <is>
          <t>On all 55 sites it closed the popup and went nowhere until 9 Sep. Nobody could have paid.</t>
        </is>
      </c>
    </row>
    <row r="26">
      <c r="A26" s="5" t="inlineStr">
        <is>
          <t>Complication</t>
        </is>
      </c>
      <c r="B26" s="8" t="inlineStr">
        <is>
          <t>All engagement was internal</t>
        </is>
      </c>
      <c r="C26" s="2" t="inlineStr">
        <is>
          <t>Every view and click traced back to test emails in your own inbox or Telegram links.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Monthly P&amp;L — 24 months</t>
        </is>
      </c>
    </row>
    <row r="2">
      <c r="A2" s="2" t="inlineStr">
        <is>
          <t>Every figure is a formula driven by the Assumptions sheet. Change an input there and this whole sheet moves.</t>
        </is>
      </c>
    </row>
    <row r="4">
      <c r="A4" s="3" t="inlineStr">
        <is>
          <t>Month</t>
        </is>
      </c>
      <c r="B4" s="19" t="inlineStr">
        <is>
          <t>Oct 2026</t>
        </is>
      </c>
      <c r="C4" s="19" t="inlineStr">
        <is>
          <t>Nov 2026</t>
        </is>
      </c>
      <c r="D4" s="19" t="inlineStr">
        <is>
          <t>Dec 2026</t>
        </is>
      </c>
      <c r="E4" s="19" t="inlineStr">
        <is>
          <t>Jan 2027</t>
        </is>
      </c>
      <c r="F4" s="19" t="inlineStr">
        <is>
          <t>Feb 2027</t>
        </is>
      </c>
      <c r="G4" s="19" t="inlineStr">
        <is>
          <t>Mar 2027</t>
        </is>
      </c>
      <c r="H4" s="19" t="inlineStr">
        <is>
          <t>Apr 2027</t>
        </is>
      </c>
      <c r="I4" s="19" t="inlineStr">
        <is>
          <t>May 2027</t>
        </is>
      </c>
      <c r="J4" s="19" t="inlineStr">
        <is>
          <t>Jun 2027</t>
        </is>
      </c>
      <c r="K4" s="19" t="inlineStr">
        <is>
          <t>Jul 2027</t>
        </is>
      </c>
      <c r="L4" s="19" t="inlineStr">
        <is>
          <t>Aug 2027</t>
        </is>
      </c>
      <c r="M4" s="19" t="inlineStr">
        <is>
          <t>Sep 2027</t>
        </is>
      </c>
      <c r="N4" s="19" t="inlineStr">
        <is>
          <t>Oct 2027</t>
        </is>
      </c>
      <c r="O4" s="19" t="inlineStr">
        <is>
          <t>Nov 2027</t>
        </is>
      </c>
      <c r="P4" s="19" t="inlineStr">
        <is>
          <t>Dec 2027</t>
        </is>
      </c>
      <c r="Q4" s="19" t="inlineStr">
        <is>
          <t>Jan 2028</t>
        </is>
      </c>
      <c r="R4" s="19" t="inlineStr">
        <is>
          <t>Feb 2028</t>
        </is>
      </c>
      <c r="S4" s="19" t="inlineStr">
        <is>
          <t>Mar 2028</t>
        </is>
      </c>
      <c r="T4" s="19" t="inlineStr">
        <is>
          <t>Apr 2028</t>
        </is>
      </c>
      <c r="U4" s="19" t="inlineStr">
        <is>
          <t>May 2028</t>
        </is>
      </c>
      <c r="V4" s="19" t="inlineStr">
        <is>
          <t>Jun 2028</t>
        </is>
      </c>
      <c r="W4" s="19" t="inlineStr">
        <is>
          <t>Jul 2028</t>
        </is>
      </c>
      <c r="X4" s="19" t="inlineStr">
        <is>
          <t>Aug 2028</t>
        </is>
      </c>
      <c r="Y4" s="19" t="inlineStr">
        <is>
          <t>Sep 2028</t>
        </is>
      </c>
    </row>
    <row r="6">
      <c r="A6" s="20" t="inlineStr">
        <is>
          <t>VOLUME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</row>
    <row r="7">
      <c r="A7" s="5" t="inlineStr">
        <is>
          <t>New leads scraped</t>
        </is>
      </c>
      <c r="B7" s="15">
        <f>'Assumptions'!$B$36</f>
        <v/>
      </c>
      <c r="C7" s="15">
        <f>'Assumptions'!$B$36</f>
        <v/>
      </c>
      <c r="D7" s="15">
        <f>'Assumptions'!$B$36</f>
        <v/>
      </c>
      <c r="E7" s="15">
        <f>'Assumptions'!$B$36</f>
        <v/>
      </c>
      <c r="F7" s="15">
        <f>'Assumptions'!$B$36</f>
        <v/>
      </c>
      <c r="G7" s="15">
        <f>'Assumptions'!$B$36</f>
        <v/>
      </c>
      <c r="H7" s="15">
        <f>'Assumptions'!$B$36</f>
        <v/>
      </c>
      <c r="I7" s="15">
        <f>'Assumptions'!$B$36</f>
        <v/>
      </c>
      <c r="J7" s="15">
        <f>'Assumptions'!$B$36</f>
        <v/>
      </c>
      <c r="K7" s="15">
        <f>'Assumptions'!$B$36</f>
        <v/>
      </c>
      <c r="L7" s="15">
        <f>'Assumptions'!$B$36</f>
        <v/>
      </c>
      <c r="M7" s="15">
        <f>'Assumptions'!$B$36</f>
        <v/>
      </c>
      <c r="N7" s="15">
        <f>'Assumptions'!$B$36</f>
        <v/>
      </c>
      <c r="O7" s="15">
        <f>'Assumptions'!$B$36</f>
        <v/>
      </c>
      <c r="P7" s="15">
        <f>'Assumptions'!$B$36</f>
        <v/>
      </c>
      <c r="Q7" s="15">
        <f>'Assumptions'!$B$36</f>
        <v/>
      </c>
      <c r="R7" s="15">
        <f>'Assumptions'!$B$36</f>
        <v/>
      </c>
      <c r="S7" s="15">
        <f>'Assumptions'!$B$36</f>
        <v/>
      </c>
      <c r="T7" s="15">
        <f>'Assumptions'!$B$36</f>
        <v/>
      </c>
      <c r="U7" s="15">
        <f>'Assumptions'!$B$36</f>
        <v/>
      </c>
      <c r="V7" s="15">
        <f>'Assumptions'!$B$36</f>
        <v/>
      </c>
      <c r="W7" s="15">
        <f>'Assumptions'!$B$36</f>
        <v/>
      </c>
      <c r="X7" s="15">
        <f>'Assumptions'!$B$36</f>
        <v/>
      </c>
      <c r="Y7" s="15">
        <f>'Assumptions'!$B$36</f>
        <v/>
      </c>
    </row>
    <row r="8">
      <c r="A8" s="5" t="inlineStr">
        <is>
          <t>DataSkip lookups</t>
        </is>
      </c>
      <c r="B8" s="15">
        <f>'Assumptions'!$B$38</f>
        <v/>
      </c>
      <c r="C8" s="15">
        <f>'Assumptions'!$B$38</f>
        <v/>
      </c>
      <c r="D8" s="15">
        <f>'Assumptions'!$B$38</f>
        <v/>
      </c>
      <c r="E8" s="15">
        <f>'Assumptions'!$B$38</f>
        <v/>
      </c>
      <c r="F8" s="15">
        <f>'Assumptions'!$B$38</f>
        <v/>
      </c>
      <c r="G8" s="15">
        <f>'Assumptions'!$B$38</f>
        <v/>
      </c>
      <c r="H8" s="15">
        <f>'Assumptions'!$B$38</f>
        <v/>
      </c>
      <c r="I8" s="15">
        <f>'Assumptions'!$B$38</f>
        <v/>
      </c>
      <c r="J8" s="15">
        <f>'Assumptions'!$B$38</f>
        <v/>
      </c>
      <c r="K8" s="15">
        <f>'Assumptions'!$B$38</f>
        <v/>
      </c>
      <c r="L8" s="15">
        <f>'Assumptions'!$B$38</f>
        <v/>
      </c>
      <c r="M8" s="15">
        <f>'Assumptions'!$B$38</f>
        <v/>
      </c>
      <c r="N8" s="15">
        <f>'Assumptions'!$B$38</f>
        <v/>
      </c>
      <c r="O8" s="15">
        <f>'Assumptions'!$B$38</f>
        <v/>
      </c>
      <c r="P8" s="15">
        <f>'Assumptions'!$B$38</f>
        <v/>
      </c>
      <c r="Q8" s="15">
        <f>'Assumptions'!$B$38</f>
        <v/>
      </c>
      <c r="R8" s="15">
        <f>'Assumptions'!$B$38</f>
        <v/>
      </c>
      <c r="S8" s="15">
        <f>'Assumptions'!$B$38</f>
        <v/>
      </c>
      <c r="T8" s="15">
        <f>'Assumptions'!$B$38</f>
        <v/>
      </c>
      <c r="U8" s="15">
        <f>'Assumptions'!$B$38</f>
        <v/>
      </c>
      <c r="V8" s="15">
        <f>'Assumptions'!$B$38</f>
        <v/>
      </c>
      <c r="W8" s="15">
        <f>'Assumptions'!$B$38</f>
        <v/>
      </c>
      <c r="X8" s="15">
        <f>'Assumptions'!$B$38</f>
        <v/>
      </c>
      <c r="Y8" s="15">
        <f>'Assumptions'!$B$38</f>
        <v/>
      </c>
    </row>
    <row r="9">
      <c r="A9" s="5" t="inlineStr">
        <is>
          <t>Email addresses found</t>
        </is>
      </c>
      <c r="B9" s="15">
        <f>B8*'Assumptions'!$B$6</f>
        <v/>
      </c>
      <c r="C9" s="15">
        <f>C8*'Assumptions'!$B$6</f>
        <v/>
      </c>
      <c r="D9" s="15">
        <f>D8*'Assumptions'!$B$6</f>
        <v/>
      </c>
      <c r="E9" s="15">
        <f>E8*'Assumptions'!$B$6</f>
        <v/>
      </c>
      <c r="F9" s="15">
        <f>F8*'Assumptions'!$B$6</f>
        <v/>
      </c>
      <c r="G9" s="15">
        <f>G8*'Assumptions'!$B$6</f>
        <v/>
      </c>
      <c r="H9" s="15">
        <f>H8*'Assumptions'!$B$6</f>
        <v/>
      </c>
      <c r="I9" s="15">
        <f>I8*'Assumptions'!$B$6</f>
        <v/>
      </c>
      <c r="J9" s="15">
        <f>J8*'Assumptions'!$B$6</f>
        <v/>
      </c>
      <c r="K9" s="15">
        <f>K8*'Assumptions'!$B$6</f>
        <v/>
      </c>
      <c r="L9" s="15">
        <f>L8*'Assumptions'!$B$6</f>
        <v/>
      </c>
      <c r="M9" s="15">
        <f>M8*'Assumptions'!$B$6</f>
        <v/>
      </c>
      <c r="N9" s="15">
        <f>N8*'Assumptions'!$B$6</f>
        <v/>
      </c>
      <c r="O9" s="15">
        <f>O8*'Assumptions'!$B$6</f>
        <v/>
      </c>
      <c r="P9" s="15">
        <f>P8*'Assumptions'!$B$6</f>
        <v/>
      </c>
      <c r="Q9" s="15">
        <f>Q8*'Assumptions'!$B$6</f>
        <v/>
      </c>
      <c r="R9" s="15">
        <f>R8*'Assumptions'!$B$6</f>
        <v/>
      </c>
      <c r="S9" s="15">
        <f>S8*'Assumptions'!$B$6</f>
        <v/>
      </c>
      <c r="T9" s="15">
        <f>T8*'Assumptions'!$B$6</f>
        <v/>
      </c>
      <c r="U9" s="15">
        <f>U8*'Assumptions'!$B$6</f>
        <v/>
      </c>
      <c r="V9" s="15">
        <f>V8*'Assumptions'!$B$6</f>
        <v/>
      </c>
      <c r="W9" s="15">
        <f>W8*'Assumptions'!$B$6</f>
        <v/>
      </c>
      <c r="X9" s="15">
        <f>X8*'Assumptions'!$B$6</f>
        <v/>
      </c>
      <c r="Y9" s="15">
        <f>Y8*'Assumptions'!$B$6</f>
        <v/>
      </c>
    </row>
    <row r="10">
      <c r="A10" s="5" t="inlineStr">
        <is>
          <t>Mailing addresses found</t>
        </is>
      </c>
      <c r="B10" s="15">
        <f>B8*'Assumptions'!$B$7</f>
        <v/>
      </c>
      <c r="C10" s="15">
        <f>C8*'Assumptions'!$B$7</f>
        <v/>
      </c>
      <c r="D10" s="15">
        <f>D8*'Assumptions'!$B$7</f>
        <v/>
      </c>
      <c r="E10" s="15">
        <f>E8*'Assumptions'!$B$7</f>
        <v/>
      </c>
      <c r="F10" s="15">
        <f>F8*'Assumptions'!$B$7</f>
        <v/>
      </c>
      <c r="G10" s="15">
        <f>G8*'Assumptions'!$B$7</f>
        <v/>
      </c>
      <c r="H10" s="15">
        <f>H8*'Assumptions'!$B$7</f>
        <v/>
      </c>
      <c r="I10" s="15">
        <f>I8*'Assumptions'!$B$7</f>
        <v/>
      </c>
      <c r="J10" s="15">
        <f>J8*'Assumptions'!$B$7</f>
        <v/>
      </c>
      <c r="K10" s="15">
        <f>K8*'Assumptions'!$B$7</f>
        <v/>
      </c>
      <c r="L10" s="15">
        <f>L8*'Assumptions'!$B$7</f>
        <v/>
      </c>
      <c r="M10" s="15">
        <f>M8*'Assumptions'!$B$7</f>
        <v/>
      </c>
      <c r="N10" s="15">
        <f>N8*'Assumptions'!$B$7</f>
        <v/>
      </c>
      <c r="O10" s="15">
        <f>O8*'Assumptions'!$B$7</f>
        <v/>
      </c>
      <c r="P10" s="15">
        <f>P8*'Assumptions'!$B$7</f>
        <v/>
      </c>
      <c r="Q10" s="15">
        <f>Q8*'Assumptions'!$B$7</f>
        <v/>
      </c>
      <c r="R10" s="15">
        <f>R8*'Assumptions'!$B$7</f>
        <v/>
      </c>
      <c r="S10" s="15">
        <f>S8*'Assumptions'!$B$7</f>
        <v/>
      </c>
      <c r="T10" s="15">
        <f>T8*'Assumptions'!$B$7</f>
        <v/>
      </c>
      <c r="U10" s="15">
        <f>U8*'Assumptions'!$B$7</f>
        <v/>
      </c>
      <c r="V10" s="15">
        <f>V8*'Assumptions'!$B$7</f>
        <v/>
      </c>
      <c r="W10" s="15">
        <f>W8*'Assumptions'!$B$7</f>
        <v/>
      </c>
      <c r="X10" s="15">
        <f>X8*'Assumptions'!$B$7</f>
        <v/>
      </c>
      <c r="Y10" s="15">
        <f>Y8*'Assumptions'!$B$7</f>
        <v/>
      </c>
    </row>
    <row r="11">
      <c r="A11" s="5" t="inlineStr">
        <is>
          <t>Sites built</t>
        </is>
      </c>
      <c r="B11" s="15">
        <f>B9</f>
        <v/>
      </c>
      <c r="C11" s="15">
        <f>C9</f>
        <v/>
      </c>
      <c r="D11" s="15">
        <f>D9</f>
        <v/>
      </c>
      <c r="E11" s="15">
        <f>E9</f>
        <v/>
      </c>
      <c r="F11" s="15">
        <f>F9</f>
        <v/>
      </c>
      <c r="G11" s="15">
        <f>G9</f>
        <v/>
      </c>
      <c r="H11" s="15">
        <f>H9</f>
        <v/>
      </c>
      <c r="I11" s="15">
        <f>I9</f>
        <v/>
      </c>
      <c r="J11" s="15">
        <f>J9</f>
        <v/>
      </c>
      <c r="K11" s="15">
        <f>K9</f>
        <v/>
      </c>
      <c r="L11" s="15">
        <f>L9</f>
        <v/>
      </c>
      <c r="M11" s="15">
        <f>M9</f>
        <v/>
      </c>
      <c r="N11" s="15">
        <f>N9</f>
        <v/>
      </c>
      <c r="O11" s="15">
        <f>O9</f>
        <v/>
      </c>
      <c r="P11" s="15">
        <f>P9</f>
        <v/>
      </c>
      <c r="Q11" s="15">
        <f>Q9</f>
        <v/>
      </c>
      <c r="R11" s="15">
        <f>R9</f>
        <v/>
      </c>
      <c r="S11" s="15">
        <f>S9</f>
        <v/>
      </c>
      <c r="T11" s="15">
        <f>T9</f>
        <v/>
      </c>
      <c r="U11" s="15">
        <f>U9</f>
        <v/>
      </c>
      <c r="V11" s="15">
        <f>V9</f>
        <v/>
      </c>
      <c r="W11" s="15">
        <f>W9</f>
        <v/>
      </c>
      <c r="X11" s="15">
        <f>X9</f>
        <v/>
      </c>
      <c r="Y11" s="15">
        <f>Y9</f>
        <v/>
      </c>
    </row>
    <row r="12">
      <c r="A12" s="5" t="inlineStr">
        <is>
          <t>Emails sent</t>
        </is>
      </c>
      <c r="B12" s="15">
        <f>B9</f>
        <v/>
      </c>
      <c r="C12" s="15">
        <f>C9</f>
        <v/>
      </c>
      <c r="D12" s="15">
        <f>D9</f>
        <v/>
      </c>
      <c r="E12" s="15">
        <f>E9</f>
        <v/>
      </c>
      <c r="F12" s="15">
        <f>F9</f>
        <v/>
      </c>
      <c r="G12" s="15">
        <f>G9</f>
        <v/>
      </c>
      <c r="H12" s="15">
        <f>H9</f>
        <v/>
      </c>
      <c r="I12" s="15">
        <f>I9</f>
        <v/>
      </c>
      <c r="J12" s="15">
        <f>J9</f>
        <v/>
      </c>
      <c r="K12" s="15">
        <f>K9</f>
        <v/>
      </c>
      <c r="L12" s="15">
        <f>L9</f>
        <v/>
      </c>
      <c r="M12" s="15">
        <f>M9</f>
        <v/>
      </c>
      <c r="N12" s="15">
        <f>N9</f>
        <v/>
      </c>
      <c r="O12" s="15">
        <f>O9</f>
        <v/>
      </c>
      <c r="P12" s="15">
        <f>P9</f>
        <v/>
      </c>
      <c r="Q12" s="15">
        <f>Q9</f>
        <v/>
      </c>
      <c r="R12" s="15">
        <f>R9</f>
        <v/>
      </c>
      <c r="S12" s="15">
        <f>S9</f>
        <v/>
      </c>
      <c r="T12" s="15">
        <f>T9</f>
        <v/>
      </c>
      <c r="U12" s="15">
        <f>U9</f>
        <v/>
      </c>
      <c r="V12" s="15">
        <f>V9</f>
        <v/>
      </c>
      <c r="W12" s="15">
        <f>W9</f>
        <v/>
      </c>
      <c r="X12" s="15">
        <f>X9</f>
        <v/>
      </c>
      <c r="Y12" s="15">
        <f>Y9</f>
        <v/>
      </c>
    </row>
    <row r="13">
      <c r="A13" s="5" t="inlineStr">
        <is>
          <t>Postcards sent</t>
        </is>
      </c>
      <c r="B13" s="15">
        <f>B10*'Assumptions'!$B$43</f>
        <v/>
      </c>
      <c r="C13" s="15">
        <f>C10*'Assumptions'!$B$43</f>
        <v/>
      </c>
      <c r="D13" s="15">
        <f>D10*'Assumptions'!$B$43</f>
        <v/>
      </c>
      <c r="E13" s="15">
        <f>E10*'Assumptions'!$B$43</f>
        <v/>
      </c>
      <c r="F13" s="15">
        <f>F10*'Assumptions'!$B$43</f>
        <v/>
      </c>
      <c r="G13" s="15">
        <f>G10*'Assumptions'!$B$43</f>
        <v/>
      </c>
      <c r="H13" s="15">
        <f>H10*'Assumptions'!$B$43</f>
        <v/>
      </c>
      <c r="I13" s="15">
        <f>I10*'Assumptions'!$B$43</f>
        <v/>
      </c>
      <c r="J13" s="15">
        <f>J10*'Assumptions'!$B$43</f>
        <v/>
      </c>
      <c r="K13" s="15">
        <f>K10*'Assumptions'!$B$43</f>
        <v/>
      </c>
      <c r="L13" s="15">
        <f>L10*'Assumptions'!$B$43</f>
        <v/>
      </c>
      <c r="M13" s="15">
        <f>M10*'Assumptions'!$B$43</f>
        <v/>
      </c>
      <c r="N13" s="15">
        <f>N10*'Assumptions'!$B$43</f>
        <v/>
      </c>
      <c r="O13" s="15">
        <f>O10*'Assumptions'!$B$43</f>
        <v/>
      </c>
      <c r="P13" s="15">
        <f>P10*'Assumptions'!$B$43</f>
        <v/>
      </c>
      <c r="Q13" s="15">
        <f>Q10*'Assumptions'!$B$43</f>
        <v/>
      </c>
      <c r="R13" s="15">
        <f>R10*'Assumptions'!$B$43</f>
        <v/>
      </c>
      <c r="S13" s="15">
        <f>S10*'Assumptions'!$B$43</f>
        <v/>
      </c>
      <c r="T13" s="15">
        <f>T10*'Assumptions'!$B$43</f>
        <v/>
      </c>
      <c r="U13" s="15">
        <f>U10*'Assumptions'!$B$43</f>
        <v/>
      </c>
      <c r="V13" s="15">
        <f>V10*'Assumptions'!$B$43</f>
        <v/>
      </c>
      <c r="W13" s="15">
        <f>W10*'Assumptions'!$B$43</f>
        <v/>
      </c>
      <c r="X13" s="15">
        <f>X10*'Assumptions'!$B$43</f>
        <v/>
      </c>
      <c r="Y13" s="15">
        <f>Y10*'Assumptions'!$B$43</f>
        <v/>
      </c>
    </row>
    <row r="15">
      <c r="A15" s="20" t="inlineStr">
        <is>
          <t>CUSTOMERS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</row>
    <row r="16">
      <c r="A16" s="5" t="inlineStr">
        <is>
          <t>New customers — from email</t>
        </is>
      </c>
      <c r="B16" s="15">
        <f>B12*'Assumptions'!$B$47</f>
        <v/>
      </c>
      <c r="C16" s="15">
        <f>C12*'Assumptions'!$B$47</f>
        <v/>
      </c>
      <c r="D16" s="15">
        <f>D12*'Assumptions'!$B$47</f>
        <v/>
      </c>
      <c r="E16" s="15">
        <f>E12*'Assumptions'!$B$47</f>
        <v/>
      </c>
      <c r="F16" s="15">
        <f>F12*'Assumptions'!$B$47</f>
        <v/>
      </c>
      <c r="G16" s="15">
        <f>G12*'Assumptions'!$B$47</f>
        <v/>
      </c>
      <c r="H16" s="15">
        <f>H12*'Assumptions'!$B$47</f>
        <v/>
      </c>
      <c r="I16" s="15">
        <f>I12*'Assumptions'!$B$47</f>
        <v/>
      </c>
      <c r="J16" s="15">
        <f>J12*'Assumptions'!$B$47</f>
        <v/>
      </c>
      <c r="K16" s="15">
        <f>K12*'Assumptions'!$B$47</f>
        <v/>
      </c>
      <c r="L16" s="15">
        <f>L12*'Assumptions'!$B$47</f>
        <v/>
      </c>
      <c r="M16" s="15">
        <f>M12*'Assumptions'!$B$47</f>
        <v/>
      </c>
      <c r="N16" s="15">
        <f>N12*'Assumptions'!$B$47</f>
        <v/>
      </c>
      <c r="O16" s="15">
        <f>O12*'Assumptions'!$B$47</f>
        <v/>
      </c>
      <c r="P16" s="15">
        <f>P12*'Assumptions'!$B$47</f>
        <v/>
      </c>
      <c r="Q16" s="15">
        <f>Q12*'Assumptions'!$B$47</f>
        <v/>
      </c>
      <c r="R16" s="15">
        <f>R12*'Assumptions'!$B$47</f>
        <v/>
      </c>
      <c r="S16" s="15">
        <f>S12*'Assumptions'!$B$47</f>
        <v/>
      </c>
      <c r="T16" s="15">
        <f>T12*'Assumptions'!$B$47</f>
        <v/>
      </c>
      <c r="U16" s="15">
        <f>U12*'Assumptions'!$B$47</f>
        <v/>
      </c>
      <c r="V16" s="15">
        <f>V12*'Assumptions'!$B$47</f>
        <v/>
      </c>
      <c r="W16" s="15">
        <f>W12*'Assumptions'!$B$47</f>
        <v/>
      </c>
      <c r="X16" s="15">
        <f>X12*'Assumptions'!$B$47</f>
        <v/>
      </c>
      <c r="Y16" s="15">
        <f>Y12*'Assumptions'!$B$47</f>
        <v/>
      </c>
    </row>
    <row r="17">
      <c r="A17" s="5" t="inlineStr">
        <is>
          <t>New customers — from postcard</t>
        </is>
      </c>
      <c r="B17" s="15">
        <f>B13*'Assumptions'!$B$48</f>
        <v/>
      </c>
      <c r="C17" s="15">
        <f>C13*'Assumptions'!$B$48</f>
        <v/>
      </c>
      <c r="D17" s="15">
        <f>D13*'Assumptions'!$B$48</f>
        <v/>
      </c>
      <c r="E17" s="15">
        <f>E13*'Assumptions'!$B$48</f>
        <v/>
      </c>
      <c r="F17" s="15">
        <f>F13*'Assumptions'!$B$48</f>
        <v/>
      </c>
      <c r="G17" s="15">
        <f>G13*'Assumptions'!$B$48</f>
        <v/>
      </c>
      <c r="H17" s="15">
        <f>H13*'Assumptions'!$B$48</f>
        <v/>
      </c>
      <c r="I17" s="15">
        <f>I13*'Assumptions'!$B$48</f>
        <v/>
      </c>
      <c r="J17" s="15">
        <f>J13*'Assumptions'!$B$48</f>
        <v/>
      </c>
      <c r="K17" s="15">
        <f>K13*'Assumptions'!$B$48</f>
        <v/>
      </c>
      <c r="L17" s="15">
        <f>L13*'Assumptions'!$B$48</f>
        <v/>
      </c>
      <c r="M17" s="15">
        <f>M13*'Assumptions'!$B$48</f>
        <v/>
      </c>
      <c r="N17" s="15">
        <f>N13*'Assumptions'!$B$48</f>
        <v/>
      </c>
      <c r="O17" s="15">
        <f>O13*'Assumptions'!$B$48</f>
        <v/>
      </c>
      <c r="P17" s="15">
        <f>P13*'Assumptions'!$B$48</f>
        <v/>
      </c>
      <c r="Q17" s="15">
        <f>Q13*'Assumptions'!$B$48</f>
        <v/>
      </c>
      <c r="R17" s="15">
        <f>R13*'Assumptions'!$B$48</f>
        <v/>
      </c>
      <c r="S17" s="15">
        <f>S13*'Assumptions'!$B$48</f>
        <v/>
      </c>
      <c r="T17" s="15">
        <f>T13*'Assumptions'!$B$48</f>
        <v/>
      </c>
      <c r="U17" s="15">
        <f>U13*'Assumptions'!$B$48</f>
        <v/>
      </c>
      <c r="V17" s="15">
        <f>V13*'Assumptions'!$B$48</f>
        <v/>
      </c>
      <c r="W17" s="15">
        <f>W13*'Assumptions'!$B$48</f>
        <v/>
      </c>
      <c r="X17" s="15">
        <f>X13*'Assumptions'!$B$48</f>
        <v/>
      </c>
      <c r="Y17" s="15">
        <f>Y13*'Assumptions'!$B$48</f>
        <v/>
      </c>
    </row>
    <row r="18">
      <c r="A18" s="8" t="inlineStr">
        <is>
          <t>New customers, total</t>
        </is>
      </c>
      <c r="B18" s="17">
        <f>B16+B17</f>
        <v/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  <c r="M18" s="17">
        <f>M16+M17</f>
        <v/>
      </c>
      <c r="N18" s="17">
        <f>N16+N17</f>
        <v/>
      </c>
      <c r="O18" s="17">
        <f>O16+O17</f>
        <v/>
      </c>
      <c r="P18" s="17">
        <f>P16+P17</f>
        <v/>
      </c>
      <c r="Q18" s="17">
        <f>Q16+Q17</f>
        <v/>
      </c>
      <c r="R18" s="17">
        <f>R16+R17</f>
        <v/>
      </c>
      <c r="S18" s="17">
        <f>S16+S17</f>
        <v/>
      </c>
      <c r="T18" s="17">
        <f>T16+T17</f>
        <v/>
      </c>
      <c r="U18" s="17">
        <f>U16+U17</f>
        <v/>
      </c>
      <c r="V18" s="17">
        <f>V16+V17</f>
        <v/>
      </c>
      <c r="W18" s="17">
        <f>W16+W17</f>
        <v/>
      </c>
      <c r="X18" s="17">
        <f>X16+X17</f>
        <v/>
      </c>
      <c r="Y18" s="17">
        <f>Y16+Y17</f>
        <v/>
      </c>
    </row>
    <row r="19">
      <c r="A19" s="8" t="inlineStr">
        <is>
          <t>Active customers, end of month</t>
        </is>
      </c>
      <c r="B19" s="17">
        <f>'Assumptions'!$B$53*(1-'Assumptions'!$B$49)+B18</f>
        <v/>
      </c>
      <c r="C19" s="17">
        <f>B19*(1-'Assumptions'!$B$49)+C18</f>
        <v/>
      </c>
      <c r="D19" s="17">
        <f>C19*(1-'Assumptions'!$B$49)+D18</f>
        <v/>
      </c>
      <c r="E19" s="17">
        <f>D19*(1-'Assumptions'!$B$49)+E18</f>
        <v/>
      </c>
      <c r="F19" s="17">
        <f>E19*(1-'Assumptions'!$B$49)+F18</f>
        <v/>
      </c>
      <c r="G19" s="17">
        <f>F19*(1-'Assumptions'!$B$49)+G18</f>
        <v/>
      </c>
      <c r="H19" s="17">
        <f>G19*(1-'Assumptions'!$B$49)+H18</f>
        <v/>
      </c>
      <c r="I19" s="17">
        <f>H19*(1-'Assumptions'!$B$49)+I18</f>
        <v/>
      </c>
      <c r="J19" s="17">
        <f>I19*(1-'Assumptions'!$B$49)+J18</f>
        <v/>
      </c>
      <c r="K19" s="17">
        <f>J19*(1-'Assumptions'!$B$49)+K18</f>
        <v/>
      </c>
      <c r="L19" s="17">
        <f>K19*(1-'Assumptions'!$B$49)+L18</f>
        <v/>
      </c>
      <c r="M19" s="17">
        <f>L19*(1-'Assumptions'!$B$49)+M18</f>
        <v/>
      </c>
      <c r="N19" s="17">
        <f>M19*(1-'Assumptions'!$B$49)+N18</f>
        <v/>
      </c>
      <c r="O19" s="17">
        <f>N19*(1-'Assumptions'!$B$49)+O18</f>
        <v/>
      </c>
      <c r="P19" s="17">
        <f>O19*(1-'Assumptions'!$B$49)+P18</f>
        <v/>
      </c>
      <c r="Q19" s="17">
        <f>P19*(1-'Assumptions'!$B$49)+Q18</f>
        <v/>
      </c>
      <c r="R19" s="17">
        <f>Q19*(1-'Assumptions'!$B$49)+R18</f>
        <v/>
      </c>
      <c r="S19" s="17">
        <f>R19*(1-'Assumptions'!$B$49)+S18</f>
        <v/>
      </c>
      <c r="T19" s="17">
        <f>S19*(1-'Assumptions'!$B$49)+T18</f>
        <v/>
      </c>
      <c r="U19" s="17">
        <f>T19*(1-'Assumptions'!$B$49)+U18</f>
        <v/>
      </c>
      <c r="V19" s="17">
        <f>U19*(1-'Assumptions'!$B$49)+V18</f>
        <v/>
      </c>
      <c r="W19" s="17">
        <f>V19*(1-'Assumptions'!$B$49)+W18</f>
        <v/>
      </c>
      <c r="X19" s="17">
        <f>W19*(1-'Assumptions'!$B$49)+X18</f>
        <v/>
      </c>
      <c r="Y19" s="17">
        <f>X19*(1-'Assumptions'!$B$49)+Y18</f>
        <v/>
      </c>
    </row>
    <row r="21">
      <c r="A21" s="20" t="inlineStr">
        <is>
          <t>REVENUE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</row>
    <row r="22">
      <c r="A22" s="5" t="inlineStr">
        <is>
          <t>Setup fees</t>
        </is>
      </c>
      <c r="B22" s="13">
        <f>B18*'Assumptions'!$B$32</f>
        <v/>
      </c>
      <c r="C22" s="13">
        <f>C18*'Assumptions'!$B$32</f>
        <v/>
      </c>
      <c r="D22" s="13">
        <f>D18*'Assumptions'!$B$32</f>
        <v/>
      </c>
      <c r="E22" s="13">
        <f>E18*'Assumptions'!$B$32</f>
        <v/>
      </c>
      <c r="F22" s="13">
        <f>F18*'Assumptions'!$B$32</f>
        <v/>
      </c>
      <c r="G22" s="13">
        <f>G18*'Assumptions'!$B$32</f>
        <v/>
      </c>
      <c r="H22" s="13">
        <f>H18*'Assumptions'!$B$32</f>
        <v/>
      </c>
      <c r="I22" s="13">
        <f>I18*'Assumptions'!$B$32</f>
        <v/>
      </c>
      <c r="J22" s="13">
        <f>J18*'Assumptions'!$B$32</f>
        <v/>
      </c>
      <c r="K22" s="13">
        <f>K18*'Assumptions'!$B$32</f>
        <v/>
      </c>
      <c r="L22" s="13">
        <f>L18*'Assumptions'!$B$32</f>
        <v/>
      </c>
      <c r="M22" s="13">
        <f>M18*'Assumptions'!$B$32</f>
        <v/>
      </c>
      <c r="N22" s="13">
        <f>N18*'Assumptions'!$B$32</f>
        <v/>
      </c>
      <c r="O22" s="13">
        <f>O18*'Assumptions'!$B$32</f>
        <v/>
      </c>
      <c r="P22" s="13">
        <f>P18*'Assumptions'!$B$32</f>
        <v/>
      </c>
      <c r="Q22" s="13">
        <f>Q18*'Assumptions'!$B$32</f>
        <v/>
      </c>
      <c r="R22" s="13">
        <f>R18*'Assumptions'!$B$32</f>
        <v/>
      </c>
      <c r="S22" s="13">
        <f>S18*'Assumptions'!$B$32</f>
        <v/>
      </c>
      <c r="T22" s="13">
        <f>T18*'Assumptions'!$B$32</f>
        <v/>
      </c>
      <c r="U22" s="13">
        <f>U18*'Assumptions'!$B$32</f>
        <v/>
      </c>
      <c r="V22" s="13">
        <f>V18*'Assumptions'!$B$32</f>
        <v/>
      </c>
      <c r="W22" s="13">
        <f>W18*'Assumptions'!$B$32</f>
        <v/>
      </c>
      <c r="X22" s="13">
        <f>X18*'Assumptions'!$B$32</f>
        <v/>
      </c>
      <c r="Y22" s="13">
        <f>Y18*'Assumptions'!$B$32</f>
        <v/>
      </c>
    </row>
    <row r="23">
      <c r="A23" s="5" t="inlineStr">
        <is>
          <t>Monthly fees</t>
        </is>
      </c>
      <c r="B23" s="13">
        <f>B19*'Assumptions'!$B$33</f>
        <v/>
      </c>
      <c r="C23" s="13">
        <f>C19*'Assumptions'!$B$33</f>
        <v/>
      </c>
      <c r="D23" s="13">
        <f>D19*'Assumptions'!$B$33</f>
        <v/>
      </c>
      <c r="E23" s="13">
        <f>E19*'Assumptions'!$B$33</f>
        <v/>
      </c>
      <c r="F23" s="13">
        <f>F19*'Assumptions'!$B$33</f>
        <v/>
      </c>
      <c r="G23" s="13">
        <f>G19*'Assumptions'!$B$33</f>
        <v/>
      </c>
      <c r="H23" s="13">
        <f>H19*'Assumptions'!$B$33</f>
        <v/>
      </c>
      <c r="I23" s="13">
        <f>I19*'Assumptions'!$B$33</f>
        <v/>
      </c>
      <c r="J23" s="13">
        <f>J19*'Assumptions'!$B$33</f>
        <v/>
      </c>
      <c r="K23" s="13">
        <f>K19*'Assumptions'!$B$33</f>
        <v/>
      </c>
      <c r="L23" s="13">
        <f>L19*'Assumptions'!$B$33</f>
        <v/>
      </c>
      <c r="M23" s="13">
        <f>M19*'Assumptions'!$B$33</f>
        <v/>
      </c>
      <c r="N23" s="13">
        <f>N19*'Assumptions'!$B$33</f>
        <v/>
      </c>
      <c r="O23" s="13">
        <f>O19*'Assumptions'!$B$33</f>
        <v/>
      </c>
      <c r="P23" s="13">
        <f>P19*'Assumptions'!$B$33</f>
        <v/>
      </c>
      <c r="Q23" s="13">
        <f>Q19*'Assumptions'!$B$33</f>
        <v/>
      </c>
      <c r="R23" s="13">
        <f>R19*'Assumptions'!$B$33</f>
        <v/>
      </c>
      <c r="S23" s="13">
        <f>S19*'Assumptions'!$B$33</f>
        <v/>
      </c>
      <c r="T23" s="13">
        <f>T19*'Assumptions'!$B$33</f>
        <v/>
      </c>
      <c r="U23" s="13">
        <f>U19*'Assumptions'!$B$33</f>
        <v/>
      </c>
      <c r="V23" s="13">
        <f>V19*'Assumptions'!$B$33</f>
        <v/>
      </c>
      <c r="W23" s="13">
        <f>W19*'Assumptions'!$B$33</f>
        <v/>
      </c>
      <c r="X23" s="13">
        <f>X19*'Assumptions'!$B$33</f>
        <v/>
      </c>
      <c r="Y23" s="13">
        <f>Y19*'Assumptions'!$B$33</f>
        <v/>
      </c>
    </row>
    <row r="24">
      <c r="A24" s="8" t="inlineStr">
        <is>
          <t>Gross revenue</t>
        </is>
      </c>
      <c r="B24" s="22">
        <f>B22+B23</f>
        <v/>
      </c>
      <c r="C24" s="22">
        <f>C22+C23</f>
        <v/>
      </c>
      <c r="D24" s="22">
        <f>D22+D23</f>
        <v/>
      </c>
      <c r="E24" s="22">
        <f>E22+E23</f>
        <v/>
      </c>
      <c r="F24" s="22">
        <f>F22+F23</f>
        <v/>
      </c>
      <c r="G24" s="22">
        <f>G22+G23</f>
        <v/>
      </c>
      <c r="H24" s="22">
        <f>H22+H23</f>
        <v/>
      </c>
      <c r="I24" s="22">
        <f>I22+I23</f>
        <v/>
      </c>
      <c r="J24" s="22">
        <f>J22+J23</f>
        <v/>
      </c>
      <c r="K24" s="22">
        <f>K22+K23</f>
        <v/>
      </c>
      <c r="L24" s="22">
        <f>L22+L23</f>
        <v/>
      </c>
      <c r="M24" s="22">
        <f>M22+M23</f>
        <v/>
      </c>
      <c r="N24" s="22">
        <f>N22+N23</f>
        <v/>
      </c>
      <c r="O24" s="22">
        <f>O22+O23</f>
        <v/>
      </c>
      <c r="P24" s="22">
        <f>P22+P23</f>
        <v/>
      </c>
      <c r="Q24" s="22">
        <f>Q22+Q23</f>
        <v/>
      </c>
      <c r="R24" s="22">
        <f>R22+R23</f>
        <v/>
      </c>
      <c r="S24" s="22">
        <f>S22+S23</f>
        <v/>
      </c>
      <c r="T24" s="22">
        <f>T22+T23</f>
        <v/>
      </c>
      <c r="U24" s="22">
        <f>U22+U23</f>
        <v/>
      </c>
      <c r="V24" s="22">
        <f>V22+V23</f>
        <v/>
      </c>
      <c r="W24" s="22">
        <f>W22+W23</f>
        <v/>
      </c>
      <c r="X24" s="22">
        <f>X22+X23</f>
        <v/>
      </c>
      <c r="Y24" s="22">
        <f>Y22+Y23</f>
        <v/>
      </c>
    </row>
    <row r="25">
      <c r="A25" s="5" t="inlineStr">
        <is>
          <t>Less: Stripe fees</t>
        </is>
      </c>
      <c r="B25" s="13">
        <f>-((B22+B23)*'Assumptions'!$B$19+(B18+B19)*'Assumptions'!$B$20)</f>
        <v/>
      </c>
      <c r="C25" s="13">
        <f>-((C22+C23)*'Assumptions'!$B$19+(C18+C19)*'Assumptions'!$B$20)</f>
        <v/>
      </c>
      <c r="D25" s="13">
        <f>-((D22+D23)*'Assumptions'!$B$19+(D18+D19)*'Assumptions'!$B$20)</f>
        <v/>
      </c>
      <c r="E25" s="13">
        <f>-((E22+E23)*'Assumptions'!$B$19+(E18+E19)*'Assumptions'!$B$20)</f>
        <v/>
      </c>
      <c r="F25" s="13">
        <f>-((F22+F23)*'Assumptions'!$B$19+(F18+F19)*'Assumptions'!$B$20)</f>
        <v/>
      </c>
      <c r="G25" s="13">
        <f>-((G22+G23)*'Assumptions'!$B$19+(G18+G19)*'Assumptions'!$B$20)</f>
        <v/>
      </c>
      <c r="H25" s="13">
        <f>-((H22+H23)*'Assumptions'!$B$19+(H18+H19)*'Assumptions'!$B$20)</f>
        <v/>
      </c>
      <c r="I25" s="13">
        <f>-((I22+I23)*'Assumptions'!$B$19+(I18+I19)*'Assumptions'!$B$20)</f>
        <v/>
      </c>
      <c r="J25" s="13">
        <f>-((J22+J23)*'Assumptions'!$B$19+(J18+J19)*'Assumptions'!$B$20)</f>
        <v/>
      </c>
      <c r="K25" s="13">
        <f>-((K22+K23)*'Assumptions'!$B$19+(K18+K19)*'Assumptions'!$B$20)</f>
        <v/>
      </c>
      <c r="L25" s="13">
        <f>-((L22+L23)*'Assumptions'!$B$19+(L18+L19)*'Assumptions'!$B$20)</f>
        <v/>
      </c>
      <c r="M25" s="13">
        <f>-((M22+M23)*'Assumptions'!$B$19+(M18+M19)*'Assumptions'!$B$20)</f>
        <v/>
      </c>
      <c r="N25" s="13">
        <f>-((N22+N23)*'Assumptions'!$B$19+(N18+N19)*'Assumptions'!$B$20)</f>
        <v/>
      </c>
      <c r="O25" s="13">
        <f>-((O22+O23)*'Assumptions'!$B$19+(O18+O19)*'Assumptions'!$B$20)</f>
        <v/>
      </c>
      <c r="P25" s="13">
        <f>-((P22+P23)*'Assumptions'!$B$19+(P18+P19)*'Assumptions'!$B$20)</f>
        <v/>
      </c>
      <c r="Q25" s="13">
        <f>-((Q22+Q23)*'Assumptions'!$B$19+(Q18+Q19)*'Assumptions'!$B$20)</f>
        <v/>
      </c>
      <c r="R25" s="13">
        <f>-((R22+R23)*'Assumptions'!$B$19+(R18+R19)*'Assumptions'!$B$20)</f>
        <v/>
      </c>
      <c r="S25" s="13">
        <f>-((S22+S23)*'Assumptions'!$B$19+(S18+S19)*'Assumptions'!$B$20)</f>
        <v/>
      </c>
      <c r="T25" s="13">
        <f>-((T22+T23)*'Assumptions'!$B$19+(T18+T19)*'Assumptions'!$B$20)</f>
        <v/>
      </c>
      <c r="U25" s="13">
        <f>-((U22+U23)*'Assumptions'!$B$19+(U18+U19)*'Assumptions'!$B$20)</f>
        <v/>
      </c>
      <c r="V25" s="13">
        <f>-((V22+V23)*'Assumptions'!$B$19+(V18+V19)*'Assumptions'!$B$20)</f>
        <v/>
      </c>
      <c r="W25" s="13">
        <f>-((W22+W23)*'Assumptions'!$B$19+(W18+W19)*'Assumptions'!$B$20)</f>
        <v/>
      </c>
      <c r="X25" s="13">
        <f>-((X22+X23)*'Assumptions'!$B$19+(X18+X19)*'Assumptions'!$B$20)</f>
        <v/>
      </c>
      <c r="Y25" s="13">
        <f>-((Y22+Y23)*'Assumptions'!$B$19+(Y18+Y19)*'Assumptions'!$B$20)</f>
        <v/>
      </c>
    </row>
    <row r="26">
      <c r="A26" s="8" t="inlineStr">
        <is>
          <t>Net revenue</t>
        </is>
      </c>
      <c r="B26" s="23">
        <f>B24+B25</f>
        <v/>
      </c>
      <c r="C26" s="23">
        <f>C24+C25</f>
        <v/>
      </c>
      <c r="D26" s="23">
        <f>D24+D25</f>
        <v/>
      </c>
      <c r="E26" s="23">
        <f>E24+E25</f>
        <v/>
      </c>
      <c r="F26" s="23">
        <f>F24+F25</f>
        <v/>
      </c>
      <c r="G26" s="23">
        <f>G24+G25</f>
        <v/>
      </c>
      <c r="H26" s="23">
        <f>H24+H25</f>
        <v/>
      </c>
      <c r="I26" s="23">
        <f>I24+I25</f>
        <v/>
      </c>
      <c r="J26" s="23">
        <f>J24+J25</f>
        <v/>
      </c>
      <c r="K26" s="23">
        <f>K24+K25</f>
        <v/>
      </c>
      <c r="L26" s="23">
        <f>L24+L25</f>
        <v/>
      </c>
      <c r="M26" s="23">
        <f>M24+M25</f>
        <v/>
      </c>
      <c r="N26" s="23">
        <f>N24+N25</f>
        <v/>
      </c>
      <c r="O26" s="23">
        <f>O24+O25</f>
        <v/>
      </c>
      <c r="P26" s="23">
        <f>P24+P25</f>
        <v/>
      </c>
      <c r="Q26" s="23">
        <f>Q24+Q25</f>
        <v/>
      </c>
      <c r="R26" s="23">
        <f>R24+R25</f>
        <v/>
      </c>
      <c r="S26" s="23">
        <f>S24+S25</f>
        <v/>
      </c>
      <c r="T26" s="23">
        <f>T24+T25</f>
        <v/>
      </c>
      <c r="U26" s="23">
        <f>U24+U25</f>
        <v/>
      </c>
      <c r="V26" s="23">
        <f>V24+V25</f>
        <v/>
      </c>
      <c r="W26" s="23">
        <f>W24+W25</f>
        <v/>
      </c>
      <c r="X26" s="23">
        <f>X24+X25</f>
        <v/>
      </c>
      <c r="Y26" s="23">
        <f>Y24+Y25</f>
        <v/>
      </c>
    </row>
    <row r="28">
      <c r="A28" s="20" t="inlineStr">
        <is>
          <t>COSTS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</row>
    <row r="29">
      <c r="A29" s="5" t="inlineStr">
        <is>
          <t>DataSkip lookups</t>
        </is>
      </c>
      <c r="B29" s="13">
        <f>-B8*'Assumptions'!$B$5</f>
        <v/>
      </c>
      <c r="C29" s="13">
        <f>-C8*'Assumptions'!$B$5</f>
        <v/>
      </c>
      <c r="D29" s="13">
        <f>-D8*'Assumptions'!$B$5</f>
        <v/>
      </c>
      <c r="E29" s="13">
        <f>-E8*'Assumptions'!$B$5</f>
        <v/>
      </c>
      <c r="F29" s="13">
        <f>-F8*'Assumptions'!$B$5</f>
        <v/>
      </c>
      <c r="G29" s="13">
        <f>-G8*'Assumptions'!$B$5</f>
        <v/>
      </c>
      <c r="H29" s="13">
        <f>-H8*'Assumptions'!$B$5</f>
        <v/>
      </c>
      <c r="I29" s="13">
        <f>-I8*'Assumptions'!$B$5</f>
        <v/>
      </c>
      <c r="J29" s="13">
        <f>-J8*'Assumptions'!$B$5</f>
        <v/>
      </c>
      <c r="K29" s="13">
        <f>-K8*'Assumptions'!$B$5</f>
        <v/>
      </c>
      <c r="L29" s="13">
        <f>-L8*'Assumptions'!$B$5</f>
        <v/>
      </c>
      <c r="M29" s="13">
        <f>-M8*'Assumptions'!$B$5</f>
        <v/>
      </c>
      <c r="N29" s="13">
        <f>-N8*'Assumptions'!$B$5</f>
        <v/>
      </c>
      <c r="O29" s="13">
        <f>-O8*'Assumptions'!$B$5</f>
        <v/>
      </c>
      <c r="P29" s="13">
        <f>-P8*'Assumptions'!$B$5</f>
        <v/>
      </c>
      <c r="Q29" s="13">
        <f>-Q8*'Assumptions'!$B$5</f>
        <v/>
      </c>
      <c r="R29" s="13">
        <f>-R8*'Assumptions'!$B$5</f>
        <v/>
      </c>
      <c r="S29" s="13">
        <f>-S8*'Assumptions'!$B$5</f>
        <v/>
      </c>
      <c r="T29" s="13">
        <f>-T8*'Assumptions'!$B$5</f>
        <v/>
      </c>
      <c r="U29" s="13">
        <f>-U8*'Assumptions'!$B$5</f>
        <v/>
      </c>
      <c r="V29" s="13">
        <f>-V8*'Assumptions'!$B$5</f>
        <v/>
      </c>
      <c r="W29" s="13">
        <f>-W8*'Assumptions'!$B$5</f>
        <v/>
      </c>
      <c r="X29" s="13">
        <f>-X8*'Assumptions'!$B$5</f>
        <v/>
      </c>
      <c r="Y29" s="13">
        <f>-Y8*'Assumptions'!$B$5</f>
        <v/>
      </c>
    </row>
    <row r="30">
      <c r="A30" s="5" t="inlineStr">
        <is>
          <t>Site builds</t>
        </is>
      </c>
      <c r="B30" s="13">
        <f>-B11*'Assumptions'!$B$11</f>
        <v/>
      </c>
      <c r="C30" s="13">
        <f>-C11*'Assumptions'!$B$11</f>
        <v/>
      </c>
      <c r="D30" s="13">
        <f>-D11*'Assumptions'!$B$11</f>
        <v/>
      </c>
      <c r="E30" s="13">
        <f>-E11*'Assumptions'!$B$11</f>
        <v/>
      </c>
      <c r="F30" s="13">
        <f>-F11*'Assumptions'!$B$11</f>
        <v/>
      </c>
      <c r="G30" s="13">
        <f>-G11*'Assumptions'!$B$11</f>
        <v/>
      </c>
      <c r="H30" s="13">
        <f>-H11*'Assumptions'!$B$11</f>
        <v/>
      </c>
      <c r="I30" s="13">
        <f>-I11*'Assumptions'!$B$11</f>
        <v/>
      </c>
      <c r="J30" s="13">
        <f>-J11*'Assumptions'!$B$11</f>
        <v/>
      </c>
      <c r="K30" s="13">
        <f>-K11*'Assumptions'!$B$11</f>
        <v/>
      </c>
      <c r="L30" s="13">
        <f>-L11*'Assumptions'!$B$11</f>
        <v/>
      </c>
      <c r="M30" s="13">
        <f>-M11*'Assumptions'!$B$11</f>
        <v/>
      </c>
      <c r="N30" s="13">
        <f>-N11*'Assumptions'!$B$11</f>
        <v/>
      </c>
      <c r="O30" s="13">
        <f>-O11*'Assumptions'!$B$11</f>
        <v/>
      </c>
      <c r="P30" s="13">
        <f>-P11*'Assumptions'!$B$11</f>
        <v/>
      </c>
      <c r="Q30" s="13">
        <f>-Q11*'Assumptions'!$B$11</f>
        <v/>
      </c>
      <c r="R30" s="13">
        <f>-R11*'Assumptions'!$B$11</f>
        <v/>
      </c>
      <c r="S30" s="13">
        <f>-S11*'Assumptions'!$B$11</f>
        <v/>
      </c>
      <c r="T30" s="13">
        <f>-T11*'Assumptions'!$B$11</f>
        <v/>
      </c>
      <c r="U30" s="13">
        <f>-U11*'Assumptions'!$B$11</f>
        <v/>
      </c>
      <c r="V30" s="13">
        <f>-V11*'Assumptions'!$B$11</f>
        <v/>
      </c>
      <c r="W30" s="13">
        <f>-W11*'Assumptions'!$B$11</f>
        <v/>
      </c>
      <c r="X30" s="13">
        <f>-X11*'Assumptions'!$B$11</f>
        <v/>
      </c>
      <c r="Y30" s="13">
        <f>-Y11*'Assumptions'!$B$11</f>
        <v/>
      </c>
    </row>
    <row r="31">
      <c r="A31" s="5" t="inlineStr">
        <is>
          <t>Postcards</t>
        </is>
      </c>
      <c r="B31" s="13">
        <f>-B13*'Assumptions'!$B$13</f>
        <v/>
      </c>
      <c r="C31" s="13">
        <f>-C13*'Assumptions'!$B$13</f>
        <v/>
      </c>
      <c r="D31" s="13">
        <f>-D13*'Assumptions'!$B$13</f>
        <v/>
      </c>
      <c r="E31" s="13">
        <f>-E13*'Assumptions'!$B$13</f>
        <v/>
      </c>
      <c r="F31" s="13">
        <f>-F13*'Assumptions'!$B$13</f>
        <v/>
      </c>
      <c r="G31" s="13">
        <f>-G13*'Assumptions'!$B$13</f>
        <v/>
      </c>
      <c r="H31" s="13">
        <f>-H13*'Assumptions'!$B$13</f>
        <v/>
      </c>
      <c r="I31" s="13">
        <f>-I13*'Assumptions'!$B$13</f>
        <v/>
      </c>
      <c r="J31" s="13">
        <f>-J13*'Assumptions'!$B$13</f>
        <v/>
      </c>
      <c r="K31" s="13">
        <f>-K13*'Assumptions'!$B$13</f>
        <v/>
      </c>
      <c r="L31" s="13">
        <f>-L13*'Assumptions'!$B$13</f>
        <v/>
      </c>
      <c r="M31" s="13">
        <f>-M13*'Assumptions'!$B$13</f>
        <v/>
      </c>
      <c r="N31" s="13">
        <f>-N13*'Assumptions'!$B$13</f>
        <v/>
      </c>
      <c r="O31" s="13">
        <f>-O13*'Assumptions'!$B$13</f>
        <v/>
      </c>
      <c r="P31" s="13">
        <f>-P13*'Assumptions'!$B$13</f>
        <v/>
      </c>
      <c r="Q31" s="13">
        <f>-Q13*'Assumptions'!$B$13</f>
        <v/>
      </c>
      <c r="R31" s="13">
        <f>-R13*'Assumptions'!$B$13</f>
        <v/>
      </c>
      <c r="S31" s="13">
        <f>-S13*'Assumptions'!$B$13</f>
        <v/>
      </c>
      <c r="T31" s="13">
        <f>-T13*'Assumptions'!$B$13</f>
        <v/>
      </c>
      <c r="U31" s="13">
        <f>-U13*'Assumptions'!$B$13</f>
        <v/>
      </c>
      <c r="V31" s="13">
        <f>-V13*'Assumptions'!$B$13</f>
        <v/>
      </c>
      <c r="W31" s="13">
        <f>-W13*'Assumptions'!$B$13</f>
        <v/>
      </c>
      <c r="X31" s="13">
        <f>-X13*'Assumptions'!$B$13</f>
        <v/>
      </c>
      <c r="Y31" s="13">
        <f>-Y13*'Assumptions'!$B$13</f>
        <v/>
      </c>
    </row>
    <row r="32">
      <c r="A32" s="5" t="inlineStr">
        <is>
          <t>Email sending</t>
        </is>
      </c>
      <c r="B32" s="13">
        <f>-B12*'Assumptions'!$B$12</f>
        <v/>
      </c>
      <c r="C32" s="13">
        <f>-C12*'Assumptions'!$B$12</f>
        <v/>
      </c>
      <c r="D32" s="13">
        <f>-D12*'Assumptions'!$B$12</f>
        <v/>
      </c>
      <c r="E32" s="13">
        <f>-E12*'Assumptions'!$B$12</f>
        <v/>
      </c>
      <c r="F32" s="13">
        <f>-F12*'Assumptions'!$B$12</f>
        <v/>
      </c>
      <c r="G32" s="13">
        <f>-G12*'Assumptions'!$B$12</f>
        <v/>
      </c>
      <c r="H32" s="13">
        <f>-H12*'Assumptions'!$B$12</f>
        <v/>
      </c>
      <c r="I32" s="13">
        <f>-I12*'Assumptions'!$B$12</f>
        <v/>
      </c>
      <c r="J32" s="13">
        <f>-J12*'Assumptions'!$B$12</f>
        <v/>
      </c>
      <c r="K32" s="13">
        <f>-K12*'Assumptions'!$B$12</f>
        <v/>
      </c>
      <c r="L32" s="13">
        <f>-L12*'Assumptions'!$B$12</f>
        <v/>
      </c>
      <c r="M32" s="13">
        <f>-M12*'Assumptions'!$B$12</f>
        <v/>
      </c>
      <c r="N32" s="13">
        <f>-N12*'Assumptions'!$B$12</f>
        <v/>
      </c>
      <c r="O32" s="13">
        <f>-O12*'Assumptions'!$B$12</f>
        <v/>
      </c>
      <c r="P32" s="13">
        <f>-P12*'Assumptions'!$B$12</f>
        <v/>
      </c>
      <c r="Q32" s="13">
        <f>-Q12*'Assumptions'!$B$12</f>
        <v/>
      </c>
      <c r="R32" s="13">
        <f>-R12*'Assumptions'!$B$12</f>
        <v/>
      </c>
      <c r="S32" s="13">
        <f>-S12*'Assumptions'!$B$12</f>
        <v/>
      </c>
      <c r="T32" s="13">
        <f>-T12*'Assumptions'!$B$12</f>
        <v/>
      </c>
      <c r="U32" s="13">
        <f>-U12*'Assumptions'!$B$12</f>
        <v/>
      </c>
      <c r="V32" s="13">
        <f>-V12*'Assumptions'!$B$12</f>
        <v/>
      </c>
      <c r="W32" s="13">
        <f>-W12*'Assumptions'!$B$12</f>
        <v/>
      </c>
      <c r="X32" s="13">
        <f>-X12*'Assumptions'!$B$12</f>
        <v/>
      </c>
      <c r="Y32" s="13">
        <f>-Y12*'Assumptions'!$B$12</f>
        <v/>
      </c>
    </row>
    <row r="33">
      <c r="A33" s="5" t="inlineStr">
        <is>
          <t>Hosting and tools</t>
        </is>
      </c>
      <c r="B33" s="13">
        <f>-'Assumptions'!$B$18</f>
        <v/>
      </c>
      <c r="C33" s="13">
        <f>-'Assumptions'!$B$18</f>
        <v/>
      </c>
      <c r="D33" s="13">
        <f>-'Assumptions'!$B$18</f>
        <v/>
      </c>
      <c r="E33" s="13">
        <f>-'Assumptions'!$B$18</f>
        <v/>
      </c>
      <c r="F33" s="13">
        <f>-'Assumptions'!$B$18</f>
        <v/>
      </c>
      <c r="G33" s="13">
        <f>-'Assumptions'!$B$18</f>
        <v/>
      </c>
      <c r="H33" s="13">
        <f>-'Assumptions'!$B$18</f>
        <v/>
      </c>
      <c r="I33" s="13">
        <f>-'Assumptions'!$B$18</f>
        <v/>
      </c>
      <c r="J33" s="13">
        <f>-'Assumptions'!$B$18</f>
        <v/>
      </c>
      <c r="K33" s="13">
        <f>-'Assumptions'!$B$18</f>
        <v/>
      </c>
      <c r="L33" s="13">
        <f>-'Assumptions'!$B$18</f>
        <v/>
      </c>
      <c r="M33" s="13">
        <f>-'Assumptions'!$B$18</f>
        <v/>
      </c>
      <c r="N33" s="13">
        <f>-'Assumptions'!$B$18</f>
        <v/>
      </c>
      <c r="O33" s="13">
        <f>-'Assumptions'!$B$18</f>
        <v/>
      </c>
      <c r="P33" s="13">
        <f>-'Assumptions'!$B$18</f>
        <v/>
      </c>
      <c r="Q33" s="13">
        <f>-'Assumptions'!$B$18</f>
        <v/>
      </c>
      <c r="R33" s="13">
        <f>-'Assumptions'!$B$18</f>
        <v/>
      </c>
      <c r="S33" s="13">
        <f>-'Assumptions'!$B$18</f>
        <v/>
      </c>
      <c r="T33" s="13">
        <f>-'Assumptions'!$B$18</f>
        <v/>
      </c>
      <c r="U33" s="13">
        <f>-'Assumptions'!$B$18</f>
        <v/>
      </c>
      <c r="V33" s="13">
        <f>-'Assumptions'!$B$18</f>
        <v/>
      </c>
      <c r="W33" s="13">
        <f>-'Assumptions'!$B$18</f>
        <v/>
      </c>
      <c r="X33" s="13">
        <f>-'Assumptions'!$B$18</f>
        <v/>
      </c>
      <c r="Y33" s="13">
        <f>-'Assumptions'!$B$18</f>
        <v/>
      </c>
    </row>
    <row r="34">
      <c r="A34" s="8" t="inlineStr">
        <is>
          <t>Total costs</t>
        </is>
      </c>
      <c r="B34" s="23">
        <f>SUM(B29:B33)</f>
        <v/>
      </c>
      <c r="C34" s="23">
        <f>SUM(C29:C33)</f>
        <v/>
      </c>
      <c r="D34" s="23">
        <f>SUM(D29:D33)</f>
        <v/>
      </c>
      <c r="E34" s="23">
        <f>SUM(E29:E33)</f>
        <v/>
      </c>
      <c r="F34" s="23">
        <f>SUM(F29:F33)</f>
        <v/>
      </c>
      <c r="G34" s="23">
        <f>SUM(G29:G33)</f>
        <v/>
      </c>
      <c r="H34" s="23">
        <f>SUM(H29:H33)</f>
        <v/>
      </c>
      <c r="I34" s="23">
        <f>SUM(I29:I33)</f>
        <v/>
      </c>
      <c r="J34" s="23">
        <f>SUM(J29:J33)</f>
        <v/>
      </c>
      <c r="K34" s="23">
        <f>SUM(K29:K33)</f>
        <v/>
      </c>
      <c r="L34" s="23">
        <f>SUM(L29:L33)</f>
        <v/>
      </c>
      <c r="M34" s="23">
        <f>SUM(M29:M33)</f>
        <v/>
      </c>
      <c r="N34" s="23">
        <f>SUM(N29:N33)</f>
        <v/>
      </c>
      <c r="O34" s="23">
        <f>SUM(O29:O33)</f>
        <v/>
      </c>
      <c r="P34" s="23">
        <f>SUM(P29:P33)</f>
        <v/>
      </c>
      <c r="Q34" s="23">
        <f>SUM(Q29:Q33)</f>
        <v/>
      </c>
      <c r="R34" s="23">
        <f>SUM(R29:R33)</f>
        <v/>
      </c>
      <c r="S34" s="23">
        <f>SUM(S29:S33)</f>
        <v/>
      </c>
      <c r="T34" s="23">
        <f>SUM(T29:T33)</f>
        <v/>
      </c>
      <c r="U34" s="23">
        <f>SUM(U29:U33)</f>
        <v/>
      </c>
      <c r="V34" s="23">
        <f>SUM(V29:V33)</f>
        <v/>
      </c>
      <c r="W34" s="23">
        <f>SUM(W29:W33)</f>
        <v/>
      </c>
      <c r="X34" s="23">
        <f>SUM(X29:X33)</f>
        <v/>
      </c>
      <c r="Y34" s="23">
        <f>SUM(Y29:Y33)</f>
        <v/>
      </c>
    </row>
    <row r="36">
      <c r="A36" s="20" t="inlineStr">
        <is>
          <t>RESULT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</row>
    <row r="37">
      <c r="A37" s="8" t="inlineStr">
        <is>
          <t>Profit / (loss) for the month</t>
        </is>
      </c>
      <c r="B37" s="22">
        <f>B26+B34</f>
        <v/>
      </c>
      <c r="C37" s="22">
        <f>C26+C34</f>
        <v/>
      </c>
      <c r="D37" s="22">
        <f>D26+D34</f>
        <v/>
      </c>
      <c r="E37" s="22">
        <f>E26+E34</f>
        <v/>
      </c>
      <c r="F37" s="22">
        <f>F26+F34</f>
        <v/>
      </c>
      <c r="G37" s="22">
        <f>G26+G34</f>
        <v/>
      </c>
      <c r="H37" s="22">
        <f>H26+H34</f>
        <v/>
      </c>
      <c r="I37" s="22">
        <f>I26+I34</f>
        <v/>
      </c>
      <c r="J37" s="22">
        <f>J26+J34</f>
        <v/>
      </c>
      <c r="K37" s="22">
        <f>K26+K34</f>
        <v/>
      </c>
      <c r="L37" s="22">
        <f>L26+L34</f>
        <v/>
      </c>
      <c r="M37" s="22">
        <f>M26+M34</f>
        <v/>
      </c>
      <c r="N37" s="22">
        <f>N26+N34</f>
        <v/>
      </c>
      <c r="O37" s="22">
        <f>O26+O34</f>
        <v/>
      </c>
      <c r="P37" s="22">
        <f>P26+P34</f>
        <v/>
      </c>
      <c r="Q37" s="22">
        <f>Q26+Q34</f>
        <v/>
      </c>
      <c r="R37" s="22">
        <f>R26+R34</f>
        <v/>
      </c>
      <c r="S37" s="22">
        <f>S26+S34</f>
        <v/>
      </c>
      <c r="T37" s="22">
        <f>T26+T34</f>
        <v/>
      </c>
      <c r="U37" s="22">
        <f>U26+U34</f>
        <v/>
      </c>
      <c r="V37" s="22">
        <f>V26+V34</f>
        <v/>
      </c>
      <c r="W37" s="22">
        <f>W26+W34</f>
        <v/>
      </c>
      <c r="X37" s="22">
        <f>X26+X34</f>
        <v/>
      </c>
      <c r="Y37" s="22">
        <f>Y26+Y34</f>
        <v/>
      </c>
    </row>
    <row r="38">
      <c r="A38" s="8" t="inlineStr">
        <is>
          <t>Cumulative cash position</t>
        </is>
      </c>
      <c r="B38" s="23">
        <f>'Assumptions'!$B$52+B37</f>
        <v/>
      </c>
      <c r="C38" s="23">
        <f>B38+C37</f>
        <v/>
      </c>
      <c r="D38" s="23">
        <f>C38+D37</f>
        <v/>
      </c>
      <c r="E38" s="23">
        <f>D38+E37</f>
        <v/>
      </c>
      <c r="F38" s="23">
        <f>E38+F37</f>
        <v/>
      </c>
      <c r="G38" s="23">
        <f>F38+G37</f>
        <v/>
      </c>
      <c r="H38" s="23">
        <f>G38+H37</f>
        <v/>
      </c>
      <c r="I38" s="23">
        <f>H38+I37</f>
        <v/>
      </c>
      <c r="J38" s="23">
        <f>I38+J37</f>
        <v/>
      </c>
      <c r="K38" s="23">
        <f>J38+K37</f>
        <v/>
      </c>
      <c r="L38" s="23">
        <f>K38+L37</f>
        <v/>
      </c>
      <c r="M38" s="23">
        <f>L38+M37</f>
        <v/>
      </c>
      <c r="N38" s="23">
        <f>M38+N37</f>
        <v/>
      </c>
      <c r="O38" s="23">
        <f>N38+O37</f>
        <v/>
      </c>
      <c r="P38" s="23">
        <f>O38+P37</f>
        <v/>
      </c>
      <c r="Q38" s="23">
        <f>P38+Q37</f>
        <v/>
      </c>
      <c r="R38" s="23">
        <f>Q38+R37</f>
        <v/>
      </c>
      <c r="S38" s="23">
        <f>R38+S37</f>
        <v/>
      </c>
      <c r="T38" s="23">
        <f>S38+T37</f>
        <v/>
      </c>
      <c r="U38" s="23">
        <f>T38+U37</f>
        <v/>
      </c>
      <c r="V38" s="23">
        <f>U38+V37</f>
        <v/>
      </c>
      <c r="W38" s="23">
        <f>V38+W37</f>
        <v/>
      </c>
      <c r="X38" s="23">
        <f>W38+X37</f>
        <v/>
      </c>
      <c r="Y38" s="23">
        <f>X38+Y37</f>
        <v/>
      </c>
    </row>
    <row r="39">
      <c r="A39" s="5" t="inlineStr">
        <is>
          <t>Customer acquisition cost</t>
        </is>
      </c>
      <c r="B39" s="9">
        <f>IF(B18=0,0,-B34/B18)</f>
        <v/>
      </c>
      <c r="C39" s="9">
        <f>IF(C18=0,0,-C34/C18)</f>
        <v/>
      </c>
      <c r="D39" s="9">
        <f>IF(D18=0,0,-D34/D18)</f>
        <v/>
      </c>
      <c r="E39" s="9">
        <f>IF(E18=0,0,-E34/E18)</f>
        <v/>
      </c>
      <c r="F39" s="9">
        <f>IF(F18=0,0,-F34/F18)</f>
        <v/>
      </c>
      <c r="G39" s="9">
        <f>IF(G18=0,0,-G34/G18)</f>
        <v/>
      </c>
      <c r="H39" s="9">
        <f>IF(H18=0,0,-H34/H18)</f>
        <v/>
      </c>
      <c r="I39" s="9">
        <f>IF(I18=0,0,-I34/I18)</f>
        <v/>
      </c>
      <c r="J39" s="9">
        <f>IF(J18=0,0,-J34/J18)</f>
        <v/>
      </c>
      <c r="K39" s="9">
        <f>IF(K18=0,0,-K34/K18)</f>
        <v/>
      </c>
      <c r="L39" s="9">
        <f>IF(L18=0,0,-L34/L18)</f>
        <v/>
      </c>
      <c r="M39" s="9">
        <f>IF(M18=0,0,-M34/M18)</f>
        <v/>
      </c>
      <c r="N39" s="9">
        <f>IF(N18=0,0,-N34/N18)</f>
        <v/>
      </c>
      <c r="O39" s="9">
        <f>IF(O18=0,0,-O34/O18)</f>
        <v/>
      </c>
      <c r="P39" s="9">
        <f>IF(P18=0,0,-P34/P18)</f>
        <v/>
      </c>
      <c r="Q39" s="9">
        <f>IF(Q18=0,0,-Q34/Q18)</f>
        <v/>
      </c>
      <c r="R39" s="9">
        <f>IF(R18=0,0,-R34/R18)</f>
        <v/>
      </c>
      <c r="S39" s="9">
        <f>IF(S18=0,0,-S34/S18)</f>
        <v/>
      </c>
      <c r="T39" s="9">
        <f>IF(T18=0,0,-T34/T18)</f>
        <v/>
      </c>
      <c r="U39" s="9">
        <f>IF(U18=0,0,-U34/U18)</f>
        <v/>
      </c>
      <c r="V39" s="9">
        <f>IF(V18=0,0,-V34/V18)</f>
        <v/>
      </c>
      <c r="W39" s="9">
        <f>IF(W18=0,0,-W34/W18)</f>
        <v/>
      </c>
      <c r="X39" s="9">
        <f>IF(X18=0,0,-X34/X18)</f>
        <v/>
      </c>
      <c r="Y39" s="9">
        <f>IF(Y18=0,0,-Y34/Y18)</f>
        <v/>
      </c>
    </row>
    <row r="41">
      <c r="A41" s="2" t="inlineStr">
        <is>
          <t>Note: 'Cumulative cash position' opens at the $283.51 already spent, so it must climb past zero before the business has paid for itself.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Is this a profitable business?</t>
        </is>
      </c>
    </row>
    <row r="2">
      <c r="A2" s="2" t="inlineStr">
        <is>
          <t>Year-one profit at different conversion rates, holding every other assumption fixed. Change the volume on the Assumptions sheet and these move.</t>
        </is>
      </c>
    </row>
    <row r="4">
      <c r="A4" s="3" t="inlineStr">
        <is>
          <t>EMAIL CHANNEL</t>
        </is>
      </c>
      <c r="B4" s="3" t="inlineStr">
        <is>
          <t>Conversion</t>
        </is>
      </c>
      <c r="C4" s="3" t="inlineStr">
        <is>
          <t>Customers/yr</t>
        </is>
      </c>
      <c r="D4" s="3" t="inlineStr">
        <is>
          <t>Net revenue</t>
        </is>
      </c>
      <c r="E4" s="3" t="inlineStr">
        <is>
          <t>Total cost</t>
        </is>
      </c>
      <c r="F4" s="3" t="inlineStr">
        <is>
          <t>Year-one profit</t>
        </is>
      </c>
    </row>
    <row r="5">
      <c r="A5" s="12" t="inlineStr">
        <is>
          <t>Pessimistic</t>
        </is>
      </c>
      <c r="B5" s="7" t="n">
        <v>0.0025</v>
      </c>
      <c r="C5" s="24">
        <f>'Assumptions'!$B$42*12*B5</f>
        <v/>
      </c>
      <c r="D5" s="25">
        <f>C5*('Assumptions'!$B$32+'Assumptions'!$B$33*6)*(1-'Assumptions'!$B$19)-C5*'Assumptions'!$B$20*7</f>
        <v/>
      </c>
      <c r="E5" s="25">
        <f>-('Assumptions'!$B$38*12*'Assumptions'!$B$5+'Assumptions'!$B$41*12*'Assumptions'!$B$11+'Assumptions'!$B$18*12)</f>
        <v/>
      </c>
      <c r="F5" s="22">
        <f>D5+E5</f>
        <v/>
      </c>
    </row>
    <row r="6">
      <c r="A6" s="12" t="inlineStr">
        <is>
          <t>Low</t>
        </is>
      </c>
      <c r="B6" s="7" t="n">
        <v>0.005</v>
      </c>
      <c r="C6" s="24">
        <f>'Assumptions'!$B$42*12*B6</f>
        <v/>
      </c>
      <c r="D6" s="25">
        <f>C6*('Assumptions'!$B$32+'Assumptions'!$B$33*6)*(1-'Assumptions'!$B$19)-C6*'Assumptions'!$B$20*7</f>
        <v/>
      </c>
      <c r="E6" s="25">
        <f>-('Assumptions'!$B$38*12*'Assumptions'!$B$5+'Assumptions'!$B$41*12*'Assumptions'!$B$11+'Assumptions'!$B$18*12)</f>
        <v/>
      </c>
      <c r="F6" s="22">
        <f>D6+E6</f>
        <v/>
      </c>
    </row>
    <row r="7">
      <c r="A7" s="12" t="inlineStr">
        <is>
          <t>Base case</t>
        </is>
      </c>
      <c r="B7" s="7" t="n">
        <v>0.01</v>
      </c>
      <c r="C7" s="24">
        <f>'Assumptions'!$B$42*12*B7</f>
        <v/>
      </c>
      <c r="D7" s="25">
        <f>C7*('Assumptions'!$B$32+'Assumptions'!$B$33*6)*(1-'Assumptions'!$B$19)-C7*'Assumptions'!$B$20*7</f>
        <v/>
      </c>
      <c r="E7" s="25">
        <f>-('Assumptions'!$B$38*12*'Assumptions'!$B$5+'Assumptions'!$B$41*12*'Assumptions'!$B$11+'Assumptions'!$B$18*12)</f>
        <v/>
      </c>
      <c r="F7" s="22">
        <f>D7+E7</f>
        <v/>
      </c>
    </row>
    <row r="8">
      <c r="A8" s="12" t="inlineStr">
        <is>
          <t>Good</t>
        </is>
      </c>
      <c r="B8" s="7" t="n">
        <v>0.02</v>
      </c>
      <c r="C8" s="24">
        <f>'Assumptions'!$B$42*12*B8</f>
        <v/>
      </c>
      <c r="D8" s="25">
        <f>C8*('Assumptions'!$B$32+'Assumptions'!$B$33*6)*(1-'Assumptions'!$B$19)-C8*'Assumptions'!$B$20*7</f>
        <v/>
      </c>
      <c r="E8" s="25">
        <f>-('Assumptions'!$B$38*12*'Assumptions'!$B$5+'Assumptions'!$B$41*12*'Assumptions'!$B$11+'Assumptions'!$B$18*12)</f>
        <v/>
      </c>
      <c r="F8" s="22">
        <f>D8+E8</f>
        <v/>
      </c>
    </row>
    <row r="9">
      <c r="A9" s="12" t="inlineStr">
        <is>
          <t>Strong</t>
        </is>
      </c>
      <c r="B9" s="7" t="n">
        <v>0.03</v>
      </c>
      <c r="C9" s="24">
        <f>'Assumptions'!$B$42*12*B9</f>
        <v/>
      </c>
      <c r="D9" s="25">
        <f>C9*('Assumptions'!$B$32+'Assumptions'!$B$33*6)*(1-'Assumptions'!$B$19)-C9*'Assumptions'!$B$20*7</f>
        <v/>
      </c>
      <c r="E9" s="25">
        <f>-('Assumptions'!$B$38*12*'Assumptions'!$B$5+'Assumptions'!$B$41*12*'Assumptions'!$B$11+'Assumptions'!$B$18*12)</f>
        <v/>
      </c>
      <c r="F9" s="22">
        <f>D9+E9</f>
        <v/>
      </c>
    </row>
    <row r="10">
      <c r="A10" s="12" t="inlineStr">
        <is>
          <t>Exceptional</t>
        </is>
      </c>
      <c r="B10" s="7" t="n">
        <v>0.05</v>
      </c>
      <c r="C10" s="24">
        <f>'Assumptions'!$B$42*12*B10</f>
        <v/>
      </c>
      <c r="D10" s="25">
        <f>C10*('Assumptions'!$B$32+'Assumptions'!$B$33*6)*(1-'Assumptions'!$B$19)-C10*'Assumptions'!$B$20*7</f>
        <v/>
      </c>
      <c r="E10" s="25">
        <f>-('Assumptions'!$B$38*12*'Assumptions'!$B$5+'Assumptions'!$B$41*12*'Assumptions'!$B$11+'Assumptions'!$B$18*12)</f>
        <v/>
      </c>
      <c r="F10" s="22">
        <f>D10+E10</f>
        <v/>
      </c>
    </row>
    <row r="11"/>
    <row r="13">
      <c r="A13" s="2" t="inlineStr">
        <is>
          <t>Revenue counts the setup fee plus an average of 6 monthly payments, because customers arrive through the year rather than on day one.</t>
        </is>
      </c>
    </row>
    <row r="16">
      <c r="A16" s="3" t="inlineStr">
        <is>
          <t>THE TWO CHANNELS, PER LEAD</t>
        </is>
      </c>
      <c r="B16" s="3" t="inlineStr">
        <is>
          <t>Email</t>
        </is>
      </c>
      <c r="C16" s="3" t="inlineStr">
        <is>
          <t>Postcard</t>
        </is>
      </c>
      <c r="D16" s="4" t="n"/>
      <c r="E16" s="4" t="n"/>
      <c r="F16" s="4" t="n"/>
    </row>
    <row r="17">
      <c r="A17" s="5" t="inlineStr">
        <is>
          <t>Cost to find and reach one lead</t>
        </is>
      </c>
      <c r="B17" s="9">
        <f>'Assumptions'!$B$14</f>
        <v/>
      </c>
      <c r="C17" s="9">
        <f>'Assumptions'!$B$15</f>
        <v/>
      </c>
    </row>
    <row r="18">
      <c r="A18" s="5" t="inlineStr">
        <is>
          <t>Break-even conversion rate</t>
        </is>
      </c>
      <c r="B18" s="16">
        <f>'Assumptions'!$B$59</f>
        <v/>
      </c>
      <c r="C18" s="16">
        <f>'Assumptions'!$B$60</f>
        <v/>
      </c>
    </row>
    <row r="19">
      <c r="A19" s="5" t="inlineStr">
        <is>
          <t>One sale needed per … leads</t>
        </is>
      </c>
      <c r="B19" s="15">
        <f>1/'Assumptions'!$B$59</f>
        <v/>
      </c>
      <c r="C19" s="15">
        <f>1/'Assumptions'!$B$60</f>
        <v/>
      </c>
    </row>
    <row r="20">
      <c r="A20" s="5" t="inlineStr">
        <is>
          <t>Assumed conversion</t>
        </is>
      </c>
      <c r="B20" s="12">
        <f>'Assumptions'!$B$47</f>
        <v/>
      </c>
      <c r="C20" s="12">
        <f>'Assumptions'!$B$48</f>
        <v/>
      </c>
    </row>
    <row r="21">
      <c r="A21" s="8" t="inlineStr">
        <is>
          <t>Profit per 1,000 leads reached</t>
        </is>
      </c>
      <c r="B21" s="22">
        <f>1000*('Assumptions'!$B$47*'Assumptions'!$B$57-'Assumptions'!$B$14)</f>
        <v/>
      </c>
      <c r="C21" s="22">
        <f>1000*('Assumptions'!$B$48*'Assumptions'!$B$57-'Assumptions'!$B$15)</f>
        <v/>
      </c>
    </row>
    <row r="24">
      <c r="A24" s="3" t="inlineStr">
        <is>
          <t>WHAT IT COSTS TO WORK THE WHOLE LIST</t>
        </is>
      </c>
      <c r="B24" s="4" t="n"/>
      <c r="C24" s="4" t="n"/>
      <c r="D24" s="4" t="n"/>
      <c r="E24" s="4" t="n"/>
      <c r="F24" s="4" t="n"/>
    </row>
    <row r="25">
      <c r="A25" s="5" t="inlineStr">
        <is>
          <t>Qualified leads never checked</t>
        </is>
      </c>
      <c r="B25" s="15">
        <f>31487</f>
        <v/>
      </c>
    </row>
    <row r="26">
      <c r="A26" s="5" t="inlineStr">
        <is>
          <t>DataSkip to check all of them</t>
        </is>
      </c>
      <c r="B26" s="13">
        <f>-31487*'Assumptions'!$B$5</f>
        <v/>
      </c>
    </row>
    <row r="27">
      <c r="A27" s="5" t="inlineStr">
        <is>
          <t>Emails that would yield</t>
        </is>
      </c>
      <c r="B27" s="15">
        <f>31487*'Assumptions'!$B$6</f>
        <v/>
      </c>
    </row>
    <row r="28">
      <c r="A28" s="5" t="inlineStr">
        <is>
          <t>Sites to build for them</t>
        </is>
      </c>
      <c r="B28" s="13">
        <f>-31487*'Assumptions'!$B$6*'Assumptions'!$B$11</f>
        <v/>
      </c>
    </row>
    <row r="29">
      <c r="A29" s="5" t="inlineStr">
        <is>
          <t>Total to work the entire list by email</t>
        </is>
      </c>
      <c r="B29" s="13">
        <f>-31487*('Assumptions'!$B$5+'Assumptions'!$B$6*'Assumptions'!$B$11)</f>
        <v/>
      </c>
    </row>
    <row r="30">
      <c r="A30" s="5" t="inlineStr">
        <is>
          <t>Customers at the base-case rate</t>
        </is>
      </c>
      <c r="B30" s="15">
        <f>31487*'Assumptions'!$B$6*'Assumptions'!$B$47</f>
        <v/>
      </c>
    </row>
    <row r="31">
      <c r="A31" s="5" t="inlineStr">
        <is>
          <t>Year-one net revenue from them</t>
        </is>
      </c>
      <c r="B31" s="13">
        <f>31487*'Assumptions'!$B$6*'Assumptions'!$B$47*'Assumptions'!$B$57</f>
        <v/>
      </c>
    </row>
    <row r="32">
      <c r="A32" s="8" t="inlineStr">
        <is>
          <t>Net result</t>
        </is>
      </c>
      <c r="B32" s="23">
        <f>31487*'Assumptions'!$B$6*'Assumptions'!$B$47*'Assumptions'!$B$57-31487*('Assumptions'!$B$5+'Assumptions'!$B$6*'Assumptions'!$B$11)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How low can the price go?</t>
        </is>
      </c>
    </row>
    <row r="2">
      <c r="A2" s="2" t="inlineStr">
        <is>
          <t>Monthly fee held at $50 throughout. Only the one-off setup fee changes.</t>
        </is>
      </c>
    </row>
    <row r="3">
      <c r="A3" s="2" t="inlineStr">
        <is>
          <t>Cost to find, build and email one lead is on the Assumptions sheet (B14). Everything here is driven by it.</t>
        </is>
      </c>
    </row>
    <row r="5">
      <c r="A5" s="3" t="inlineStr">
        <is>
          <t>BREAK-EVEN AT EACH SETUP PRICE</t>
        </is>
      </c>
      <c r="B5" s="3" t="inlineStr">
        <is>
          <t>Customer stays 12 months</t>
        </is>
      </c>
      <c r="C5" s="4" t="n"/>
      <c r="D5" s="4" t="n"/>
      <c r="E5" s="3" t="inlineStr">
        <is>
          <t>Cash in your hand this month</t>
        </is>
      </c>
      <c r="F5" s="4" t="n"/>
      <c r="G5" s="4" t="n"/>
    </row>
    <row r="6">
      <c r="A6" s="26" t="inlineStr">
        <is>
          <t>Setup fee</t>
        </is>
      </c>
      <c r="B6" s="27" t="inlineStr">
        <is>
          <t>Year-one net</t>
        </is>
      </c>
      <c r="C6" s="27" t="inlineStr">
        <is>
          <t>B/E conversion</t>
        </is>
      </c>
      <c r="D6" s="27" t="inlineStr">
        <is>
          <t>1 sale in …</t>
        </is>
      </c>
      <c r="E6" s="27" t="inlineStr">
        <is>
          <t>Cash on 1st sale</t>
        </is>
      </c>
      <c r="F6" s="27" t="inlineStr">
        <is>
          <t>B/E conversion</t>
        </is>
      </c>
      <c r="G6" s="27" t="inlineStr">
        <is>
          <t>1 sale in …</t>
        </is>
      </c>
    </row>
    <row r="7">
      <c r="A7" s="11" t="n">
        <v>0</v>
      </c>
      <c r="B7" s="13">
        <f>(A7+'Assumptions'!$C$24*12)*(1-'Assumptions'!$B$19)-'Assumptions'!$B$20*13</f>
        <v/>
      </c>
      <c r="C7" s="16">
        <f>'Assumptions'!$B$14/B7</f>
        <v/>
      </c>
      <c r="D7" s="15">
        <f>B7/'Assumptions'!$B$14</f>
        <v/>
      </c>
      <c r="E7" s="13">
        <f>(A7+'Assumptions'!$C$24)*(1-'Assumptions'!$B$19)-'Assumptions'!$B$20*2</f>
        <v/>
      </c>
      <c r="F7" s="16">
        <f>'Assumptions'!$B$14/E7</f>
        <v/>
      </c>
      <c r="G7" s="15">
        <f>E7/'Assumptions'!$B$14</f>
        <v/>
      </c>
    </row>
    <row r="8">
      <c r="A8" s="11" t="n">
        <v>50</v>
      </c>
      <c r="B8" s="13">
        <f>(A8+'Assumptions'!$C$24*12)*(1-'Assumptions'!$B$19)-'Assumptions'!$B$20*13</f>
        <v/>
      </c>
      <c r="C8" s="16">
        <f>'Assumptions'!$B$14/B8</f>
        <v/>
      </c>
      <c r="D8" s="15">
        <f>B8/'Assumptions'!$B$14</f>
        <v/>
      </c>
      <c r="E8" s="13">
        <f>(A8+'Assumptions'!$C$24)*(1-'Assumptions'!$B$19)-'Assumptions'!$B$20*2</f>
        <v/>
      </c>
      <c r="F8" s="16">
        <f>'Assumptions'!$B$14/E8</f>
        <v/>
      </c>
      <c r="G8" s="15">
        <f>E8/'Assumptions'!$B$14</f>
        <v/>
      </c>
    </row>
    <row r="9">
      <c r="A9" s="11" t="n">
        <v>100</v>
      </c>
      <c r="B9" s="13">
        <f>(A9+'Assumptions'!$C$24*12)*(1-'Assumptions'!$B$19)-'Assumptions'!$B$20*13</f>
        <v/>
      </c>
      <c r="C9" s="16">
        <f>'Assumptions'!$B$14/B9</f>
        <v/>
      </c>
      <c r="D9" s="15">
        <f>B9/'Assumptions'!$B$14</f>
        <v/>
      </c>
      <c r="E9" s="13">
        <f>(A9+'Assumptions'!$C$24)*(1-'Assumptions'!$B$19)-'Assumptions'!$B$20*2</f>
        <v/>
      </c>
      <c r="F9" s="16">
        <f>'Assumptions'!$B$14/E9</f>
        <v/>
      </c>
      <c r="G9" s="15">
        <f>E9/'Assumptions'!$B$14</f>
        <v/>
      </c>
    </row>
    <row r="10">
      <c r="A10" s="11" t="n">
        <v>250</v>
      </c>
      <c r="B10" s="13">
        <f>(A10+'Assumptions'!$C$24*12)*(1-'Assumptions'!$B$19)-'Assumptions'!$B$20*13</f>
        <v/>
      </c>
      <c r="C10" s="16">
        <f>'Assumptions'!$B$14/B10</f>
        <v/>
      </c>
      <c r="D10" s="15">
        <f>B10/'Assumptions'!$B$14</f>
        <v/>
      </c>
      <c r="E10" s="13">
        <f>(A10+'Assumptions'!$C$24)*(1-'Assumptions'!$B$19)-'Assumptions'!$B$20*2</f>
        <v/>
      </c>
      <c r="F10" s="16">
        <f>'Assumptions'!$B$14/E10</f>
        <v/>
      </c>
      <c r="G10" s="15">
        <f>E10/'Assumptions'!$B$14</f>
        <v/>
      </c>
    </row>
    <row r="11">
      <c r="A11" s="11" t="n">
        <v>395</v>
      </c>
      <c r="B11" s="13">
        <f>(A11+'Assumptions'!$C$24*12)*(1-'Assumptions'!$B$19)-'Assumptions'!$B$20*13</f>
        <v/>
      </c>
      <c r="C11" s="16">
        <f>'Assumptions'!$B$14/B11</f>
        <v/>
      </c>
      <c r="D11" s="15">
        <f>B11/'Assumptions'!$B$14</f>
        <v/>
      </c>
      <c r="E11" s="13">
        <f>(A11+'Assumptions'!$C$24)*(1-'Assumptions'!$B$19)-'Assumptions'!$B$20*2</f>
        <v/>
      </c>
      <c r="F11" s="16">
        <f>'Assumptions'!$B$14/E11</f>
        <v/>
      </c>
      <c r="G11" s="15">
        <f>E11/'Assumptions'!$B$14</f>
        <v/>
      </c>
    </row>
    <row r="12">
      <c r="A12" s="11" t="n">
        <v>500</v>
      </c>
      <c r="B12" s="13">
        <f>(A12+'Assumptions'!$C$24*12)*(1-'Assumptions'!$B$19)-'Assumptions'!$B$20*13</f>
        <v/>
      </c>
      <c r="C12" s="16">
        <f>'Assumptions'!$B$14/B12</f>
        <v/>
      </c>
      <c r="D12" s="15">
        <f>B12/'Assumptions'!$B$14</f>
        <v/>
      </c>
      <c r="E12" s="13">
        <f>(A12+'Assumptions'!$C$24)*(1-'Assumptions'!$B$19)-'Assumptions'!$B$20*2</f>
        <v/>
      </c>
      <c r="F12" s="16">
        <f>'Assumptions'!$B$14/E12</f>
        <v/>
      </c>
      <c r="G12" s="15">
        <f>E12/'Assumptions'!$B$14</f>
        <v/>
      </c>
    </row>
    <row r="13">
      <c r="A13" s="22" t="n">
        <v>750</v>
      </c>
      <c r="B13" s="22">
        <f>(A13+'Assumptions'!$C$24*12)*(1-'Assumptions'!$B$19)-'Assumptions'!$B$20*13</f>
        <v/>
      </c>
      <c r="C13" s="28">
        <f>'Assumptions'!$B$14/B13</f>
        <v/>
      </c>
      <c r="D13" s="17">
        <f>B13/'Assumptions'!$B$14</f>
        <v/>
      </c>
      <c r="E13" s="22">
        <f>(A13+'Assumptions'!$C$24)*(1-'Assumptions'!$B$19)-'Assumptions'!$B$20*2</f>
        <v/>
      </c>
      <c r="F13" s="28">
        <f>'Assumptions'!$B$14/E13</f>
        <v/>
      </c>
      <c r="G13" s="17">
        <f>E13/'Assumptions'!$B$14</f>
        <v/>
      </c>
    </row>
    <row r="14">
      <c r="A14" s="11" t="n">
        <v>1000</v>
      </c>
      <c r="B14" s="13">
        <f>(A14+'Assumptions'!$C$24*12)*(1-'Assumptions'!$B$19)-'Assumptions'!$B$20*13</f>
        <v/>
      </c>
      <c r="C14" s="16">
        <f>'Assumptions'!$B$14/B14</f>
        <v/>
      </c>
      <c r="D14" s="15">
        <f>B14/'Assumptions'!$B$14</f>
        <v/>
      </c>
      <c r="E14" s="13">
        <f>(A14+'Assumptions'!$C$24)*(1-'Assumptions'!$B$19)-'Assumptions'!$B$20*2</f>
        <v/>
      </c>
      <c r="F14" s="16">
        <f>'Assumptions'!$B$14/E14</f>
        <v/>
      </c>
      <c r="G14" s="15">
        <f>E14/'Assumptions'!$B$14</f>
        <v/>
      </c>
    </row>
    <row r="15">
      <c r="A15" s="11" t="n">
        <v>1500</v>
      </c>
      <c r="B15" s="13">
        <f>(A15+'Assumptions'!$C$24*12)*(1-'Assumptions'!$B$19)-'Assumptions'!$B$20*13</f>
        <v/>
      </c>
      <c r="C15" s="16">
        <f>'Assumptions'!$B$14/B15</f>
        <v/>
      </c>
      <c r="D15" s="15">
        <f>B15/'Assumptions'!$B$14</f>
        <v/>
      </c>
      <c r="E15" s="13">
        <f>(A15+'Assumptions'!$C$24)*(1-'Assumptions'!$B$19)-'Assumptions'!$B$20*2</f>
        <v/>
      </c>
      <c r="F15" s="16">
        <f>'Assumptions'!$B$14/E15</f>
        <v/>
      </c>
      <c r="G15" s="15">
        <f>E15/'Assumptions'!$B$14</f>
        <v/>
      </c>
    </row>
    <row r="16">
      <c r="A16" s="2" t="inlineStr">
        <is>
          <t>Today's Starter price is $750. The row above it, $500, and $250 below it, are the ones worth thinking about.</t>
        </is>
      </c>
    </row>
    <row r="18">
      <c r="A18" s="3" t="inlineStr">
        <is>
          <t>WHAT DROPPING THE SETUP FEE COSTS YOU</t>
        </is>
      </c>
      <c r="B18" s="4" t="n"/>
      <c r="C18" s="4" t="n"/>
      <c r="D18" s="4" t="n"/>
      <c r="E18" s="4" t="n"/>
      <c r="F18" s="4" t="n"/>
      <c r="G18" s="4" t="n"/>
    </row>
    <row r="19">
      <c r="A19" s="8" t="inlineStr">
        <is>
          <t>How much better a $0-setup offer must convert, to match $750 + $50/mo</t>
        </is>
      </c>
    </row>
    <row r="20">
      <c r="A20" s="5" t="inlineStr">
        <is>
          <t xml:space="preserve">  …if every customer stays a full 12 months</t>
        </is>
      </c>
      <c r="B20" s="29">
        <f>B14/B7</f>
        <v/>
      </c>
    </row>
    <row r="21">
      <c r="A21" s="5" t="inlineStr">
        <is>
          <t xml:space="preserve">  …measured on cash received this month</t>
        </is>
      </c>
      <c r="B21" s="30">
        <f>E14/E7</f>
        <v/>
      </c>
    </row>
    <row r="22">
      <c r="A22" s="2" t="inlineStr">
        <is>
          <t>2.26x is plausible for a big price cut. 16x is not. That gap is the whole argument.</t>
        </is>
      </c>
    </row>
    <row r="25">
      <c r="A25" s="3" t="inlineStr">
        <is>
          <t>CASH IN YOUR HAND, PER 1,000 LEADS EMAILED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8" t="inlineStr">
        <is>
          <t>Setup fee ↓   Conversion →</t>
        </is>
      </c>
      <c r="B26" s="31" t="n">
        <v>0.001</v>
      </c>
      <c r="C26" s="31" t="n">
        <v>0.0025</v>
      </c>
      <c r="D26" s="31" t="n">
        <v>0.005</v>
      </c>
      <c r="E26" s="31" t="n">
        <v>0.01</v>
      </c>
      <c r="F26" s="31" t="n">
        <v>0.02</v>
      </c>
      <c r="G26" s="31" t="n">
        <v>0.03</v>
      </c>
      <c r="H26" s="31" t="n">
        <v>0.05</v>
      </c>
    </row>
    <row r="27">
      <c r="A27" s="13">
        <f>A7</f>
        <v/>
      </c>
      <c r="B27" s="13">
        <f>1000*(B$26*$E7-'Assumptions'!$B$14)</f>
        <v/>
      </c>
      <c r="C27" s="13">
        <f>1000*(C$26*$E7-'Assumptions'!$B$14)</f>
        <v/>
      </c>
      <c r="D27" s="13">
        <f>1000*(D$26*$E7-'Assumptions'!$B$14)</f>
        <v/>
      </c>
      <c r="E27" s="13">
        <f>1000*(E$26*$E7-'Assumptions'!$B$14)</f>
        <v/>
      </c>
      <c r="F27" s="13">
        <f>1000*(F$26*$E7-'Assumptions'!$B$14)</f>
        <v/>
      </c>
      <c r="G27" s="13">
        <f>1000*(G$26*$E7-'Assumptions'!$B$14)</f>
        <v/>
      </c>
      <c r="H27" s="13">
        <f>1000*(H$26*$E7-'Assumptions'!$B$14)</f>
        <v/>
      </c>
    </row>
    <row r="28">
      <c r="A28" s="13">
        <f>A8</f>
        <v/>
      </c>
      <c r="B28" s="13">
        <f>1000*(B$26*$E8-'Assumptions'!$B$14)</f>
        <v/>
      </c>
      <c r="C28" s="13">
        <f>1000*(C$26*$E8-'Assumptions'!$B$14)</f>
        <v/>
      </c>
      <c r="D28" s="13">
        <f>1000*(D$26*$E8-'Assumptions'!$B$14)</f>
        <v/>
      </c>
      <c r="E28" s="13">
        <f>1000*(E$26*$E8-'Assumptions'!$B$14)</f>
        <v/>
      </c>
      <c r="F28" s="13">
        <f>1000*(F$26*$E8-'Assumptions'!$B$14)</f>
        <v/>
      </c>
      <c r="G28" s="13">
        <f>1000*(G$26*$E8-'Assumptions'!$B$14)</f>
        <v/>
      </c>
      <c r="H28" s="13">
        <f>1000*(H$26*$E8-'Assumptions'!$B$14)</f>
        <v/>
      </c>
    </row>
    <row r="29">
      <c r="A29" s="13">
        <f>A9</f>
        <v/>
      </c>
      <c r="B29" s="13">
        <f>1000*(B$26*$E9-'Assumptions'!$B$14)</f>
        <v/>
      </c>
      <c r="C29" s="13">
        <f>1000*(C$26*$E9-'Assumptions'!$B$14)</f>
        <v/>
      </c>
      <c r="D29" s="13">
        <f>1000*(D$26*$E9-'Assumptions'!$B$14)</f>
        <v/>
      </c>
      <c r="E29" s="13">
        <f>1000*(E$26*$E9-'Assumptions'!$B$14)</f>
        <v/>
      </c>
      <c r="F29" s="13">
        <f>1000*(F$26*$E9-'Assumptions'!$B$14)</f>
        <v/>
      </c>
      <c r="G29" s="13">
        <f>1000*(G$26*$E9-'Assumptions'!$B$14)</f>
        <v/>
      </c>
      <c r="H29" s="13">
        <f>1000*(H$26*$E9-'Assumptions'!$B$14)</f>
        <v/>
      </c>
    </row>
    <row r="30">
      <c r="A30" s="13">
        <f>A10</f>
        <v/>
      </c>
      <c r="B30" s="13">
        <f>1000*(B$26*$E10-'Assumptions'!$B$14)</f>
        <v/>
      </c>
      <c r="C30" s="13">
        <f>1000*(C$26*$E10-'Assumptions'!$B$14)</f>
        <v/>
      </c>
      <c r="D30" s="13">
        <f>1000*(D$26*$E10-'Assumptions'!$B$14)</f>
        <v/>
      </c>
      <c r="E30" s="13">
        <f>1000*(E$26*$E10-'Assumptions'!$B$14)</f>
        <v/>
      </c>
      <c r="F30" s="13">
        <f>1000*(F$26*$E10-'Assumptions'!$B$14)</f>
        <v/>
      </c>
      <c r="G30" s="13">
        <f>1000*(G$26*$E10-'Assumptions'!$B$14)</f>
        <v/>
      </c>
      <c r="H30" s="13">
        <f>1000*(H$26*$E10-'Assumptions'!$B$14)</f>
        <v/>
      </c>
    </row>
    <row r="31">
      <c r="A31" s="13">
        <f>A11</f>
        <v/>
      </c>
      <c r="B31" s="13">
        <f>1000*(B$26*$E11-'Assumptions'!$B$14)</f>
        <v/>
      </c>
      <c r="C31" s="13">
        <f>1000*(C$26*$E11-'Assumptions'!$B$14)</f>
        <v/>
      </c>
      <c r="D31" s="13">
        <f>1000*(D$26*$E11-'Assumptions'!$B$14)</f>
        <v/>
      </c>
      <c r="E31" s="13">
        <f>1000*(E$26*$E11-'Assumptions'!$B$14)</f>
        <v/>
      </c>
      <c r="F31" s="13">
        <f>1000*(F$26*$E11-'Assumptions'!$B$14)</f>
        <v/>
      </c>
      <c r="G31" s="13">
        <f>1000*(G$26*$E11-'Assumptions'!$B$14)</f>
        <v/>
      </c>
      <c r="H31" s="13">
        <f>1000*(H$26*$E11-'Assumptions'!$B$14)</f>
        <v/>
      </c>
    </row>
    <row r="32">
      <c r="A32" s="13">
        <f>A12</f>
        <v/>
      </c>
      <c r="B32" s="13">
        <f>1000*(B$26*$E12-'Assumptions'!$B$14)</f>
        <v/>
      </c>
      <c r="C32" s="13">
        <f>1000*(C$26*$E12-'Assumptions'!$B$14)</f>
        <v/>
      </c>
      <c r="D32" s="13">
        <f>1000*(D$26*$E12-'Assumptions'!$B$14)</f>
        <v/>
      </c>
      <c r="E32" s="13">
        <f>1000*(E$26*$E12-'Assumptions'!$B$14)</f>
        <v/>
      </c>
      <c r="F32" s="13">
        <f>1000*(F$26*$E12-'Assumptions'!$B$14)</f>
        <v/>
      </c>
      <c r="G32" s="13">
        <f>1000*(G$26*$E12-'Assumptions'!$B$14)</f>
        <v/>
      </c>
      <c r="H32" s="13">
        <f>1000*(H$26*$E12-'Assumptions'!$B$14)</f>
        <v/>
      </c>
    </row>
    <row r="33">
      <c r="A33" s="22">
        <f>A13</f>
        <v/>
      </c>
      <c r="B33" s="13">
        <f>1000*(B$26*$E13-'Assumptions'!$B$14)</f>
        <v/>
      </c>
      <c r="C33" s="13">
        <f>1000*(C$26*$E13-'Assumptions'!$B$14)</f>
        <v/>
      </c>
      <c r="D33" s="13">
        <f>1000*(D$26*$E13-'Assumptions'!$B$14)</f>
        <v/>
      </c>
      <c r="E33" s="13">
        <f>1000*(E$26*$E13-'Assumptions'!$B$14)</f>
        <v/>
      </c>
      <c r="F33" s="13">
        <f>1000*(F$26*$E13-'Assumptions'!$B$14)</f>
        <v/>
      </c>
      <c r="G33" s="13">
        <f>1000*(G$26*$E13-'Assumptions'!$B$14)</f>
        <v/>
      </c>
      <c r="H33" s="13">
        <f>1000*(H$26*$E13-'Assumptions'!$B$14)</f>
        <v/>
      </c>
    </row>
    <row r="34">
      <c r="A34" s="13">
        <f>A14</f>
        <v/>
      </c>
      <c r="B34" s="13">
        <f>1000*(B$26*$E14-'Assumptions'!$B$14)</f>
        <v/>
      </c>
      <c r="C34" s="13">
        <f>1000*(C$26*$E14-'Assumptions'!$B$14)</f>
        <v/>
      </c>
      <c r="D34" s="13">
        <f>1000*(D$26*$E14-'Assumptions'!$B$14)</f>
        <v/>
      </c>
      <c r="E34" s="13">
        <f>1000*(E$26*$E14-'Assumptions'!$B$14)</f>
        <v/>
      </c>
      <c r="F34" s="13">
        <f>1000*(F$26*$E14-'Assumptions'!$B$14)</f>
        <v/>
      </c>
      <c r="G34" s="13">
        <f>1000*(G$26*$E14-'Assumptions'!$B$14)</f>
        <v/>
      </c>
      <c r="H34" s="13">
        <f>1000*(H$26*$E14-'Assumptions'!$B$14)</f>
        <v/>
      </c>
    </row>
    <row r="35">
      <c r="A35" s="13">
        <f>A15</f>
        <v/>
      </c>
      <c r="B35" s="13">
        <f>1000*(B$26*$E15-'Assumptions'!$B$14)</f>
        <v/>
      </c>
      <c r="C35" s="13">
        <f>1000*(C$26*$E15-'Assumptions'!$B$14)</f>
        <v/>
      </c>
      <c r="D35" s="13">
        <f>1000*(D$26*$E15-'Assumptions'!$B$14)</f>
        <v/>
      </c>
      <c r="E35" s="13">
        <f>1000*(E$26*$E15-'Assumptions'!$B$14)</f>
        <v/>
      </c>
      <c r="F35" s="13">
        <f>1000*(F$26*$E15-'Assumptions'!$B$14)</f>
        <v/>
      </c>
      <c r="G35" s="13">
        <f>1000*(G$26*$E15-'Assumptions'!$B$14)</f>
        <v/>
      </c>
      <c r="H35" s="13">
        <f>1000*(H$26*$E15-'Assumptions'!$B$14)</f>
        <v/>
      </c>
    </row>
    <row r="36">
      <c r="A36" s="2" t="inlineStr">
        <is>
          <t>Each cell is the cash you would hold this month after emailing 1,000 leads, at that price and that conversion rate.</t>
        </is>
      </c>
    </row>
    <row r="37">
      <c r="A37" s="2" t="inlineStr">
        <is>
          <t>Red means you spent more finding and building than the sale brought back.</t>
        </is>
      </c>
    </row>
    <row r="40">
      <c r="A40" s="3" t="inlineStr">
        <is>
          <t>THE ACTUAL FLOOR</t>
        </is>
      </c>
      <c r="B40" s="4" t="n"/>
      <c r="C40" s="4" t="n"/>
      <c r="D40" s="4" t="n"/>
      <c r="E40" s="4" t="n"/>
      <c r="F40" s="4" t="n"/>
      <c r="G40" s="4" t="n"/>
    </row>
    <row r="41">
      <c r="A41" s="8" t="inlineStr">
        <is>
          <t>Lowest setup fee that still breaks even, if the customer stays 12 months</t>
        </is>
      </c>
      <c r="B41" s="8" t="inlineStr">
        <is>
          <t>Conversion</t>
        </is>
      </c>
      <c r="C41" s="8" t="inlineStr">
        <is>
          <t>Needed, year-one net</t>
        </is>
      </c>
      <c r="D41" s="8" t="inlineStr">
        <is>
          <t>Required setup fee</t>
        </is>
      </c>
    </row>
    <row r="42">
      <c r="B42" s="32" t="n">
        <v>0.0005</v>
      </c>
      <c r="C42" s="13">
        <f>'Assumptions'!$B$14/B42</f>
        <v/>
      </c>
      <c r="D42" s="13">
        <f>MAX(0,(C42+'Assumptions'!$B$20*13)/(1-'Assumptions'!$B$19)-'Assumptions'!$C$24*12)</f>
        <v/>
      </c>
    </row>
    <row r="43">
      <c r="B43" s="32" t="n">
        <v>0.001</v>
      </c>
      <c r="C43" s="13">
        <f>'Assumptions'!$B$14/B43</f>
        <v/>
      </c>
      <c r="D43" s="13">
        <f>MAX(0,(C43+'Assumptions'!$B$20*13)/(1-'Assumptions'!$B$19)-'Assumptions'!$C$24*12)</f>
        <v/>
      </c>
    </row>
    <row r="44">
      <c r="B44" s="32" t="n">
        <v>0.0025</v>
      </c>
      <c r="C44" s="13">
        <f>'Assumptions'!$B$14/B44</f>
        <v/>
      </c>
      <c r="D44" s="13">
        <f>MAX(0,(C44+'Assumptions'!$B$20*13)/(1-'Assumptions'!$B$19)-'Assumptions'!$C$24*12)</f>
        <v/>
      </c>
    </row>
    <row r="45">
      <c r="B45" s="32" t="n">
        <v>0.005</v>
      </c>
      <c r="C45" s="13">
        <f>'Assumptions'!$B$14/B45</f>
        <v/>
      </c>
      <c r="D45" s="13">
        <f>MAX(0,(C45+'Assumptions'!$B$20*13)/(1-'Assumptions'!$B$19)-'Assumptions'!$C$24*12)</f>
        <v/>
      </c>
    </row>
    <row r="46">
      <c r="B46" s="32" t="n">
        <v>0.01</v>
      </c>
      <c r="C46" s="13">
        <f>'Assumptions'!$B$14/B46</f>
        <v/>
      </c>
      <c r="D46" s="13">
        <f>MAX(0,(C46+'Assumptions'!$B$20*13)/(1-'Assumptions'!$B$19)-'Assumptions'!$C$24*12)</f>
        <v/>
      </c>
    </row>
    <row r="47">
      <c r="B47" s="32" t="n">
        <v>0.02</v>
      </c>
      <c r="C47" s="13">
        <f>'Assumptions'!$B$14/B47</f>
        <v/>
      </c>
      <c r="D47" s="13">
        <f>MAX(0,(C47+'Assumptions'!$B$20*13)/(1-'Assumptions'!$B$19)-'Assumptions'!$C$24*12)</f>
        <v/>
      </c>
    </row>
    <row r="49">
      <c r="A49" s="2" t="inlineStr">
        <is>
          <t>At any conversion above roughly 0.1%, a $50/month subscription on its own already covers the cost of the lead.</t>
        </is>
      </c>
    </row>
    <row r="50">
      <c r="A50" s="8" t="inlineStr">
        <is>
          <t>So break-even is NOT what sets your price. Cash timing is. That is the real finding on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2026-09-10T14:26:30Z</dcterms:created>
  <dcterms:modified xsi:type="dcterms:W3CDTF">2026-09-10T15:17:19Z</dcterms:modified>
</cp:coreProperties>
</file>